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var/www/scorecard-web/lib/samples/assets/csv/"/>
    </mc:Choice>
  </mc:AlternateContent>
  <xr:revisionPtr revIDLastSave="0" documentId="13_ncr:1_{7BAD4706-CD3C-7D4C-BE03-F72206E2C8A1}" xr6:coauthVersionLast="47" xr6:coauthVersionMax="47" xr10:uidLastSave="{00000000-0000-0000-0000-000000000000}"/>
  <bookViews>
    <workbookView xWindow="0" yWindow="760" windowWidth="28800" windowHeight="16160" tabRatio="500" activeTab="4" xr2:uid="{00000000-000D-0000-FFFF-FFFF00000000}"/>
  </bookViews>
  <sheets>
    <sheet name="Primiary School (PS)" sheetId="1" r:id="rId1"/>
    <sheet name="Commune Administrative (CA)" sheetId="2" r:id="rId2"/>
    <sheet name="Health Center (HC)" sheetId="3" r:id="rId3"/>
    <sheet name="Garment Factory (GF)" sheetId="5" r:id="rId4"/>
    <sheet name="Rating" sheetId="4" r:id="rId5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4" l="1"/>
  <c r="G6" i="4"/>
  <c r="F6" i="4"/>
  <c r="E6" i="4"/>
  <c r="D6" i="4"/>
  <c r="C6" i="4"/>
  <c r="H5" i="4"/>
  <c r="G5" i="4"/>
  <c r="F5" i="4"/>
  <c r="E5" i="4"/>
  <c r="D5" i="4"/>
  <c r="C5" i="4"/>
  <c r="H4" i="4"/>
  <c r="G4" i="4"/>
  <c r="F4" i="4"/>
  <c r="E4" i="4"/>
  <c r="D4" i="4"/>
  <c r="C4" i="4"/>
  <c r="H3" i="4"/>
  <c r="G3" i="4"/>
  <c r="F3" i="4"/>
  <c r="E3" i="4"/>
  <c r="D3" i="4"/>
  <c r="C3" i="4"/>
  <c r="H2" i="4"/>
  <c r="G2" i="4"/>
  <c r="F2" i="4"/>
  <c r="E2" i="4"/>
  <c r="D2" i="4"/>
  <c r="C2" i="4"/>
  <c r="J11" i="3"/>
  <c r="I11" i="3"/>
  <c r="H11" i="3"/>
  <c r="G11" i="3"/>
  <c r="F11" i="3"/>
  <c r="E11" i="3"/>
  <c r="J10" i="3"/>
  <c r="I10" i="3"/>
  <c r="H10" i="3"/>
  <c r="G10" i="3"/>
  <c r="F10" i="3"/>
  <c r="E10" i="3"/>
  <c r="J9" i="3"/>
  <c r="I9" i="3"/>
  <c r="H9" i="3"/>
  <c r="G9" i="3"/>
  <c r="F9" i="3"/>
  <c r="E9" i="3"/>
  <c r="J8" i="3"/>
  <c r="I8" i="3"/>
  <c r="H8" i="3"/>
  <c r="G8" i="3"/>
  <c r="F8" i="3"/>
  <c r="E8" i="3"/>
  <c r="J7" i="3"/>
  <c r="I7" i="3"/>
  <c r="H7" i="3"/>
  <c r="G7" i="3"/>
  <c r="F7" i="3"/>
  <c r="E7" i="3"/>
  <c r="J6" i="3"/>
  <c r="I6" i="3"/>
  <c r="H6" i="3"/>
  <c r="G6" i="3"/>
  <c r="F6" i="3"/>
  <c r="E6" i="3"/>
  <c r="J5" i="3"/>
  <c r="I5" i="3"/>
  <c r="H5" i="3"/>
  <c r="G5" i="3"/>
  <c r="F5" i="3"/>
  <c r="E5" i="3"/>
  <c r="J4" i="3"/>
  <c r="I4" i="3"/>
  <c r="H4" i="3"/>
  <c r="G4" i="3"/>
  <c r="F4" i="3"/>
  <c r="E4" i="3"/>
  <c r="J3" i="3"/>
  <c r="I3" i="3"/>
  <c r="H3" i="3"/>
  <c r="G3" i="3"/>
  <c r="F3" i="3"/>
  <c r="E3" i="3"/>
  <c r="J2" i="3"/>
  <c r="I2" i="3"/>
  <c r="H2" i="3"/>
  <c r="G2" i="3"/>
  <c r="F2" i="3"/>
  <c r="E2" i="3"/>
  <c r="J11" i="2"/>
  <c r="I11" i="2"/>
  <c r="H11" i="2"/>
  <c r="G11" i="2"/>
  <c r="F11" i="2"/>
  <c r="E11" i="2"/>
  <c r="J10" i="2"/>
  <c r="I10" i="2"/>
  <c r="H10" i="2"/>
  <c r="G10" i="2"/>
  <c r="F10" i="2"/>
  <c r="E10" i="2"/>
  <c r="J9" i="2"/>
  <c r="I9" i="2"/>
  <c r="H9" i="2"/>
  <c r="G9" i="2"/>
  <c r="F9" i="2"/>
  <c r="E9" i="2"/>
  <c r="J8" i="2"/>
  <c r="I8" i="2"/>
  <c r="H8" i="2"/>
  <c r="G8" i="2"/>
  <c r="F8" i="2"/>
  <c r="E8" i="2"/>
  <c r="J7" i="2"/>
  <c r="I7" i="2"/>
  <c r="H7" i="2"/>
  <c r="G7" i="2"/>
  <c r="F7" i="2"/>
  <c r="E7" i="2"/>
  <c r="J6" i="2"/>
  <c r="I6" i="2"/>
  <c r="H6" i="2"/>
  <c r="G6" i="2"/>
  <c r="F6" i="2"/>
  <c r="E6" i="2"/>
  <c r="J5" i="2"/>
  <c r="I5" i="2"/>
  <c r="H5" i="2"/>
  <c r="G5" i="2"/>
  <c r="F5" i="2"/>
  <c r="E5" i="2"/>
  <c r="J4" i="2"/>
  <c r="I4" i="2"/>
  <c r="H4" i="2"/>
  <c r="G4" i="2"/>
  <c r="F4" i="2"/>
  <c r="E4" i="2"/>
  <c r="J3" i="2"/>
  <c r="I3" i="2"/>
  <c r="H3" i="2"/>
  <c r="G3" i="2"/>
  <c r="F3" i="2"/>
  <c r="E3" i="2"/>
  <c r="J2" i="2"/>
  <c r="I2" i="2"/>
  <c r="H2" i="2"/>
  <c r="G2" i="2"/>
  <c r="F2" i="2"/>
  <c r="E2" i="2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<sst xmlns="http://schemas.openxmlformats.org/spreadsheetml/2006/main" count="213" uniqueCount="170">
  <si>
    <t>No</t>
  </si>
  <si>
    <t>Scorecard Criterias</t>
  </si>
  <si>
    <t>hint</t>
  </si>
  <si>
    <t>Khmer (km)</t>
  </si>
  <si>
    <t>Bunoung (bn)</t>
  </si>
  <si>
    <t>Tampuen (tp)</t>
  </si>
  <si>
    <t>Kreung (kr)</t>
  </si>
  <si>
    <t>Kavet (kv)</t>
  </si>
  <si>
    <t>Jarai (jr)</t>
  </si>
  <si>
    <t>មានបន្ទប់គ្រប់គ្រាន់</t>
  </si>
  <si>
    <t>ps_1_bn.mp3</t>
  </si>
  <si>
    <t>ps_1_tp.mp3</t>
  </si>
  <si>
    <t>ps_1_kr.mp3</t>
  </si>
  <si>
    <t>ps_1_kv.mp3</t>
  </si>
  <si>
    <t>ps_1_jr.mp3</t>
  </si>
  <si>
    <t>បរិស្ថានសាលា អនាម័យ</t>
  </si>
  <si>
    <t>ps_2_bn.mp3</t>
  </si>
  <si>
    <t>ps_2_tp.mp3</t>
  </si>
  <si>
    <t>ps_2_kr.mp3</t>
  </si>
  <si>
    <t>ps_2_kv.mp3</t>
  </si>
  <si>
    <t>ps_2_jr.mp3</t>
  </si>
  <si>
    <t>បណ្ណាល័យ</t>
  </si>
  <si>
    <t>ps_3_bn.mp3</t>
  </si>
  <si>
    <t>ps_3_tp.mp3</t>
  </si>
  <si>
    <t>ps_3_kr.mp3</t>
  </si>
  <si>
    <t>ps_3_kv.mp3</t>
  </si>
  <si>
    <t>ps_3_jr.mp3</t>
  </si>
  <si>
    <t>បង្គន់អនាម័យ មានប្រដាប់លាងដៃ</t>
  </si>
  <si>
    <t>ps_4_bn.mp3</t>
  </si>
  <si>
    <t>ps_4_tp.mp3</t>
  </si>
  <si>
    <t>ps_4_kr.mp3</t>
  </si>
  <si>
    <t>ps_4_kv.mp3</t>
  </si>
  <si>
    <t>ps_4_jr.mp3</t>
  </si>
  <si>
    <t>សម្ភារៈបង្រៀនគ្រប់គ្រាន់</t>
  </si>
  <si>
    <t>ps_5_bn.mp3</t>
  </si>
  <si>
    <t>ps_5_tp.mp3</t>
  </si>
  <si>
    <t>ps_5_kr.mp3</t>
  </si>
  <si>
    <t>ps_5_kv.mp3</t>
  </si>
  <si>
    <t>ps_5_jr.mp3</t>
  </si>
  <si>
    <t>បរិស្ថានល្អ ក្នុងថ្នាក់ ទីធ្លា</t>
  </si>
  <si>
    <t>ps_6_bn.mp3</t>
  </si>
  <si>
    <t>ps_6_tp.mp3</t>
  </si>
  <si>
    <t>ps_6_kr.mp3</t>
  </si>
  <si>
    <t>ps_6_kv.mp3</t>
  </si>
  <si>
    <t>ps_6_jr.mp3</t>
  </si>
  <si>
    <t>មានបង្គន់អនាម័យ សម្រាប់សិស្សស្រីនិងប្រុស</t>
  </si>
  <si>
    <t>ps_7_bn.mp3</t>
  </si>
  <si>
    <t>ps_7_tp.mp3</t>
  </si>
  <si>
    <t>ps_7_kr.mp3</t>
  </si>
  <si>
    <t>ps_7_kv.mp3</t>
  </si>
  <si>
    <t>ps_7_jr.mp3</t>
  </si>
  <si>
    <t>អាគារល្អ មានបន្ទប់រៀនគ្រប់គ្រាន់</t>
  </si>
  <si>
    <t>ps_8_bn.mp3</t>
  </si>
  <si>
    <t>ps_8_tp.mp3</t>
  </si>
  <si>
    <t>ps_8_kr.mp3</t>
  </si>
  <si>
    <t>ps_8_kv.mp3</t>
  </si>
  <si>
    <t>ps_8_jr.mp3</t>
  </si>
  <si>
    <t>គ្រូគោរពពេលវេលានិងវិន័យ</t>
  </si>
  <si>
    <t>ps_9_bn.mp3</t>
  </si>
  <si>
    <t>ps_9_tp.mp3</t>
  </si>
  <si>
    <t>ps_9_kr.mp3</t>
  </si>
  <si>
    <t>ps_9_kv.mp3</t>
  </si>
  <si>
    <t>ps_9_jr.mp3</t>
  </si>
  <si>
    <t>ទំនាក់ទំនងល្អរវាងសិស្សនិងគ្រូ</t>
  </si>
  <si>
    <t>ps_10_bn.mp3</t>
  </si>
  <si>
    <t>ps_10_tp.mp3</t>
  </si>
  <si>
    <t>ps_10_kr.mp3</t>
  </si>
  <si>
    <t>ps_10_kv.mp3</t>
  </si>
  <si>
    <t>ps_10_jr.mp3</t>
  </si>
  <si>
    <t>ការធ្វើការងារទៀងទាត់</t>
  </si>
  <si>
    <t>ផ្តល់ពត៌មានពីផែនការដល់ប្រជាពលរដ្ឋ</t>
  </si>
  <si>
    <t>ការផ្តល់សេវាដល់ប្រជាជនទាន់ពេល</t>
  </si>
  <si>
    <t>សម្ភារៈសមរម្យ កៅអីគ្រប់គ្រាន់</t>
  </si>
  <si>
    <t>ក្រុមប្រឹក្សាឃុំរួសរាយ ឥរិយាបទរាក់ទាក់ (អាកប្បកិរិយា)</t>
  </si>
  <si>
    <t>ចំនួនបុគ្គលិក</t>
  </si>
  <si>
    <t>សម្ភារៈគ្រប់គ្រាន់ បរិក្ខារ ថ្នាំ</t>
  </si>
  <si>
    <t>ទឹកស្អាតប្រើប្រាស់</t>
  </si>
  <si>
    <t>អាគារល្អ</t>
  </si>
  <si>
    <t>ការគ្រប់គ្រងចាត់ចែងបុគ្គលិកច្បាស់លាស់</t>
  </si>
  <si>
    <t>ប្រាក់ខែបុគ្គលិកសមរម្យ</t>
  </si>
  <si>
    <t>អាកប្បកិរិយាគ្រូពេទ្យរួសរាយ</t>
  </si>
  <si>
    <t>ព្យាបាលអ្នកជំងឺយកចិត្តទុកដាក់</t>
  </si>
  <si>
    <t>មានពេទ្យប្រចាំការ២៤ម៉ោង</t>
  </si>
  <si>
    <t>ពេលវេលាគ្រូពេទ្យ</t>
  </si>
  <si>
    <t>មិនពេញចិត្តខ្លាំង</t>
  </si>
  <si>
    <t>មិនពេញចិត្ត</t>
  </si>
  <si>
    <t>ទទួលយកបាន</t>
  </si>
  <si>
    <t>ពេញចិត្ត</t>
  </si>
  <si>
    <t>ពេញចិត្តខ្លាំង</t>
  </si>
  <si>
    <t>tag</t>
  </si>
  <si>
    <t>1</t>
  </si>
  <si>
    <t>អ្នកលក់អាហារផ្តល់ជម្រើសវេចខ្ចប់កញ្ចប់ដែលអាចប្រើឡើងវិញ</t>
  </si>
  <si>
    <t>packaging_reuse</t>
  </si>
  <si>
    <t>តាមបទពិសោធន៍របស់អ្នក តើអ្នកលក់អាហារនៅទីនេះមានផ្តល់ប្រអប់ ឬកញ្ចប់ដែលអាចប្រើឡើងវិញដែរឬទេ?</t>
  </si>
  <si>
    <t>2</t>
  </si>
  <si>
    <t>មានជម្រើសអតិថិជនយកបរិក្ខារផ្ទាល់ខ្លួនមកប្រើ</t>
  </si>
  <si>
    <t>byoc_option</t>
  </si>
  <si>
    <t>នៅពេលអ្នកទៅទិញអាហារ តើអ្នកអាចយកប្រអប់ ឬកញ្ចប់ផ្ទាល់ខ្លួនមកប្រើដោយគ្មានបញ្ហាដែរឬទេ?</t>
  </si>
  <si>
    <t>3</t>
  </si>
  <si>
    <t>មានការលើកទឹកចិត្តសម្រាប់ការប្រើវេចខ្ចប់ដែលអាចប្រើឡើងវិញ</t>
  </si>
  <si>
    <t>reuse_incentives</t>
  </si>
  <si>
    <t>តើអ្នកធ្លាប់ទទួលបានការបញ្ចុះតម្លៃ ឬការលើកទឹកចិត្តផ្សេងៗ នៅពេលប្រើកញ្ចប់អាចប្រើឡើងវិញដែរឬទេ?</t>
  </si>
  <si>
    <t>4</t>
  </si>
  <si>
    <t>ប្រើការវេចខ្ចប់ដោយកញ្ចប់ដែលអាចរលួយ ឬអាចធ្វើកំប៉ុស្ត</t>
  </si>
  <si>
    <t>biodegradable_packaging</t>
  </si>
  <si>
    <t>តាមដែលអ្នកបានឃើញ តើកញ្ចប់អាហារដែលប្រើនៅទីនេះហាក់ដូចជាអាចរលួយ ឬបំបែកដោយធម្មជាតិដែរឬទេ?</t>
  </si>
  <si>
    <t>5</t>
  </si>
  <si>
    <t>វេចខ្ចប់កញ្ចប់ផលិតពីសម្ភារៈអាចកែច្នៃឡើងវិញ</t>
  </si>
  <si>
    <t>recyclable_material</t>
  </si>
  <si>
    <t>តាមការយល់ឃើញរបស់អ្នក តើកញ្ចប់អាហារទាំងនេះអាចយកទៅកែច្នៃឡើងវិញបានដែរឬទេ?</t>
  </si>
  <si>
    <t>6</t>
  </si>
  <si>
    <t>មានធុងបំបែកកាកសំណល់ត្រឹមត្រូវ</t>
  </si>
  <si>
    <t>segregation_bins</t>
  </si>
  <si>
    <t>នៅទីតាំងនេះ តើអ្នកបានឃើញធុងដាក់កាកសំណល់បំបែកច្បាស់លាស់ (អាហារ និងវេចខ្ចប់) ដែរឬទេ?</t>
  </si>
  <si>
    <t>7</t>
  </si>
  <si>
    <t>ការបំបែកកាកសំណល់បានត្រឹមត្រូវ</t>
  </si>
  <si>
    <t>correct_segregation</t>
  </si>
  <si>
    <t>តាមការសង្កេតរបស់អ្នក តើកាកសំណល់ត្រូវបានដាក់ចូលធុងត្រឹមត្រូវ ឬនៅតែច្របូកច្របល់?</t>
  </si>
  <si>
    <t>8</t>
  </si>
  <si>
    <t>មានផ្ទាំងណែនាំអំពីការបំបែកកាកសំណល់</t>
  </si>
  <si>
    <t>segregation_signage</t>
  </si>
  <si>
    <t>តើមានផ្ទាំង ឬស្លាកណែនាំអំពីរបៀបដាក់កាកសំណល់ឲ្យឃើញច្បាស់ និងងាយយល់ដែរឬទេ?</t>
  </si>
  <si>
    <t>9</t>
  </si>
  <si>
    <t>អ្នកលក់មានការយល់ដឹងអំពីការបំបែកកាកសំណល់</t>
  </si>
  <si>
    <t>vendor_awareness</t>
  </si>
  <si>
    <t>តាមការទាក់ទងរបស់អ្នក តើអ្នកលក់ហាក់ដូចជាដឹង និងយកចិត្តទុកដាក់អំពីការបំបែកកាកសំណល់ដែរឬទេ?</t>
  </si>
  <si>
    <t>10</t>
  </si>
  <si>
    <t>មានការគ្រប់គ្រងកាកសំណល់អាហារដោយកំប៉ុស្ត</t>
  </si>
  <si>
    <t>food_waste_composting</t>
  </si>
  <si>
    <t>តើអ្នកធ្លាប់ឃើញ ឬបានដឹងថាកាកសំណល់អាហារត្រូវបានយកទៅធ្វើកំប៉ុស្ត ឬគ្រប់គ្រងផ្សេងពីចាក់សំរាមដែរឬទេ?</t>
  </si>
  <si>
    <t>11</t>
  </si>
  <si>
    <t>ភាពញឹកញាប់នៃការប្រមូលកាកសំណល់</t>
  </si>
  <si>
    <t>collection_frequency</t>
  </si>
  <si>
    <t>តាមការយល់ឃើញរបស់អ្នក តើកាកសំណល់ត្រូវបានប្រមូលយកចេញទៀងទាត់ ឬនៅសល់យូរ?</t>
  </si>
  <si>
    <t>12</t>
  </si>
  <si>
    <t>ភាពស្អាតនៃកន្លែងរក្សាទុកកាកសំណល់</t>
  </si>
  <si>
    <t>storage_cleanliness</t>
  </si>
  <si>
    <t>នៅជុំវិញធុងកាកសំណល់ តើស្ថានភាពទូទៅស្អាត និងមិនមានក្លិនអាក្រក់ដែរឬទេ?</t>
  </si>
  <si>
    <t>13</t>
  </si>
  <si>
    <t>ការរាលដាលកាកសំណល់វេចខ្ចប់ជុំវិញទីតាំង</t>
  </si>
  <si>
    <t>litter_leakage</t>
  </si>
  <si>
    <t>តាមការសង្កេតរបស់អ្នក តើមានកាកសំណល់វេចខ្ចប់ធ្លាក់រាលដាលជុំវិញទីតាំងដែរឬទេ?</t>
  </si>
  <si>
    <t>14</t>
  </si>
  <si>
    <t>សកម្មភាពបង្កើនការយល់ដឹងសាធារណៈ</t>
  </si>
  <si>
    <t>consumer_awareness</t>
  </si>
  <si>
    <t>តើអ្នកធ្លាប់ឃើញសកម្មភាព ឬសារផ្សព្វផ្សាយណាមួយអំពីការកាត់បន្ថយកាកសំណល់នៅក្នុងសហគមន៍នេះដែរឬទេ?</t>
  </si>
  <si>
    <t>15</t>
  </si>
  <si>
    <t>ព័ត៌មានណែនាំសាធារណៈអំពីការចោលកាកសំណល់</t>
  </si>
  <si>
    <t>disposal_information</t>
  </si>
  <si>
    <t>តើមានព័ត៌មាន ឬការណែនាំឲ្យប្រជាពលរដ្ឋដឹងពីរបៀបចោលកាកសំណល់ឲ្យត្រឹមត្រូវដែរឬទេ?</t>
  </si>
  <si>
    <t>16</t>
  </si>
  <si>
    <t>សកម្មភាពសម្អាតដោយសហគមន៍</t>
  </si>
  <si>
    <t>community_cleanup</t>
  </si>
  <si>
    <t>តាមបទពិសោធន៍របស់អ្នក តើសហគមន៍នេះមានសកម្មភាពសម្អាតបរិស្ថានជាប្រចាំដែរឬទេ?</t>
  </si>
  <si>
    <t>17</t>
  </si>
  <si>
    <t>មានបទបញ្ជាមូលដ្ឋានស្តីពីការវេចខ្ចប់អាហារ</t>
  </si>
  <si>
    <t>local_policy</t>
  </si>
  <si>
    <t>តើអ្នកធ្លាប់ឮ ឬបានដឹងអំពីបទបញ្ជា ឬច្បាប់មូលដ្ឋានពាក់ព័ន្ធនឹងការវេចខ្ចប់អាហារដែរឬទេ?</t>
  </si>
  <si>
    <t>18</t>
  </si>
  <si>
    <t>ការអនុវត្ត និងអនុវត្តន៍ច្បាប់វេចខ្ចប់</t>
  </si>
  <si>
    <t>policy_enforcement</t>
  </si>
  <si>
    <t>តាមការយល់ឃើញរបស់អ្នក តើបទបញ្ជាទាំងនេះត្រូវបានអនុវត្តពិតប្រាកដ ឬគ្រាន់តែមានជាឯកសារ?</t>
  </si>
  <si>
    <t>19</t>
  </si>
  <si>
    <t>ប្រព័ន្ធតាមដានការអនុវត្តរបស់អ្នកលក់</t>
  </si>
  <si>
    <t>vendor_monitoring</t>
  </si>
  <si>
    <t>តើអ្នកមានអារម្មណ៍ថាមានការតាមដាន ឬត្រួតពិនិត្យអ្នកលក់អាហារជាប្រចាំដែរឬទេ?</t>
  </si>
  <si>
    <t>20</t>
  </si>
  <si>
    <t>ចំនួនបុគ្គលិក_សូចនាករតេស្តដែលមានសម្លេង</t>
  </si>
  <si>
    <t>number_of_staff</t>
  </si>
  <si>
    <t>ចំនួនបុគ្គលិកនៅមិនទាន់គ្រប់គ្រាន់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</si>
</sst>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color theme="1"/>
      <name val="Arial"/>
    </font>
    <font>
      <sz val="9"/>
      <color rgb="FF000000"/>
      <name val="Arial"/>
    </font>
    <font>
      <sz val="10"/>
      <color theme="1"/>
      <name val="Arial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C4587"/>
        <bgColor rgb="FF1C4587"/>
      </patternFill>
    </fill>
    <fill>
      <patternFill patternType="solid">
        <fgColor theme="4" tint="-0.499984740745262"/>
        <bgColor rgb="FF0B5394"/>
      </patternFill>
    </fill>
    <fill>
      <patternFill patternType="solid">
        <fgColor theme="4" tint="-0.499984740745262"/>
        <bgColor rgb="FF073763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3" xfId="0" applyFont="1" applyBorder="1" applyAlignment="1">
      <alignment horizontal="right"/>
    </xf>
    <xf numFmtId="0" fontId="2" fillId="2" borderId="4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0" borderId="4" xfId="0" applyFont="1" applyBorder="1"/>
    <xf numFmtId="0" fontId="3" fillId="0" borderId="1" xfId="0" applyFont="1" applyBorder="1"/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3" fillId="0" borderId="1" xfId="0" applyFont="1" applyBorder="1" applyAlignment="1">
      <alignment vertical="center"/>
    </xf>
    <xf numFmtId="0" fontId="0" fillId="2" borderId="1" xfId="0" applyFill="1" applyBorder="1" applyAlignment="1">
      <alignment horizontal="left" vertical="top"/>
    </xf>
    <xf numFmtId="0" fontId="3" fillId="0" borderId="0" xfId="0" applyFont="1"/>
    <xf numFmtId="0" fontId="5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2" fillId="2" borderId="1" xfId="0" applyFont="1" applyFill="1" applyBorder="1"/>
    <xf numFmtId="0" fontId="3" fillId="0" borderId="5" xfId="0" applyFont="1" applyBorder="1"/>
    <xf numFmtId="0" fontId="0" fillId="2" borderId="5" xfId="0" applyFill="1" applyBorder="1" applyAlignment="1">
      <alignment horizontal="left"/>
    </xf>
    <xf numFmtId="0" fontId="3" fillId="0" borderId="6" xfId="0" applyFont="1" applyBorder="1"/>
    <xf numFmtId="0" fontId="0" fillId="2" borderId="6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top"/>
    </xf>
    <xf numFmtId="0" fontId="5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0" fillId="2" borderId="0" xfId="0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2" borderId="0" xfId="0" applyFill="1" applyBorder="1" applyAlignment="1">
      <alignment horizontal="left" vertical="top"/>
    </xf>
    <xf numFmtId="0" fontId="5" fillId="2" borderId="0" xfId="0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Border="1"/>
    <xf numFmtId="0" fontId="6" fillId="6" borderId="0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95"/>
  <sheetViews>
    <sheetView workbookViewId="0">
      <selection sqref="A1:J1"/>
    </sheetView>
  </sheetViews>
  <sheetFormatPr baseColWidth="10" defaultColWidth="14.5" defaultRowHeight="15.75" customHeight="1" x14ac:dyDescent="0.15"/>
  <cols>
    <col min="1" max="1" width="3.6640625" customWidth="1"/>
    <col min="2" max="2" width="47.6640625" customWidth="1"/>
    <col min="3" max="3" width="3.6640625" bestFit="1" customWidth="1"/>
    <col min="4" max="4" width="4.1640625" bestFit="1" customWidth="1"/>
    <col min="5" max="5" width="23.83203125" customWidth="1"/>
    <col min="6" max="6" width="24.83203125" customWidth="1"/>
    <col min="7" max="8" width="23.5" customWidth="1"/>
    <col min="9" max="9" width="17.5" customWidth="1"/>
  </cols>
  <sheetData>
    <row r="1" spans="1:10" ht="20.25" customHeight="1" x14ac:dyDescent="0.15">
      <c r="A1" s="35" t="s">
        <v>0</v>
      </c>
      <c r="B1" s="36" t="s">
        <v>1</v>
      </c>
      <c r="C1" s="34" t="s">
        <v>89</v>
      </c>
      <c r="D1" s="34" t="s">
        <v>2</v>
      </c>
      <c r="E1" s="36" t="s">
        <v>3</v>
      </c>
      <c r="F1" s="36" t="s">
        <v>4</v>
      </c>
      <c r="G1" s="36" t="s">
        <v>5</v>
      </c>
      <c r="H1" s="36" t="s">
        <v>6</v>
      </c>
      <c r="I1" s="36" t="s">
        <v>7</v>
      </c>
      <c r="J1" s="36" t="s">
        <v>8</v>
      </c>
    </row>
    <row r="2" spans="1:10" ht="20.25" customHeight="1" x14ac:dyDescent="0.15">
      <c r="A2" s="1">
        <v>1</v>
      </c>
      <c r="B2" s="2" t="s">
        <v>9</v>
      </c>
      <c r="C2" s="30"/>
      <c r="E2" s="3" t="str">
        <f t="shared" ref="E2:E11" si="0">"ps_"&amp;A2&amp;"_km.mp3"</f>
        <v>ps_1_km.mp3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</row>
    <row r="3" spans="1:10" ht="20.25" customHeight="1" x14ac:dyDescent="0.15">
      <c r="A3" s="1">
        <v>2</v>
      </c>
      <c r="B3" s="2" t="s">
        <v>15</v>
      </c>
      <c r="C3" s="30"/>
      <c r="E3" s="3" t="str">
        <f t="shared" si="0"/>
        <v>ps_2_km.mp3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</row>
    <row r="4" spans="1:10" ht="20.25" customHeight="1" x14ac:dyDescent="0.15">
      <c r="A4" s="1">
        <v>3</v>
      </c>
      <c r="B4" s="2" t="s">
        <v>21</v>
      </c>
      <c r="C4" s="30"/>
      <c r="E4" s="3" t="str">
        <f t="shared" si="0"/>
        <v>ps_3_km.mp3</v>
      </c>
      <c r="F4" s="3" t="s">
        <v>22</v>
      </c>
      <c r="G4" s="3" t="s">
        <v>23</v>
      </c>
      <c r="H4" s="3" t="s">
        <v>24</v>
      </c>
      <c r="I4" s="3" t="s">
        <v>25</v>
      </c>
      <c r="J4" s="3" t="s">
        <v>26</v>
      </c>
    </row>
    <row r="5" spans="1:10" ht="20.25" customHeight="1" x14ac:dyDescent="0.15">
      <c r="A5" s="1">
        <v>4</v>
      </c>
      <c r="B5" s="2" t="s">
        <v>27</v>
      </c>
      <c r="C5" s="30"/>
      <c r="E5" s="3" t="str">
        <f t="shared" si="0"/>
        <v>ps_4_km.mp3</v>
      </c>
      <c r="F5" s="3" t="s">
        <v>28</v>
      </c>
      <c r="G5" s="3" t="s">
        <v>29</v>
      </c>
      <c r="H5" s="3" t="s">
        <v>30</v>
      </c>
      <c r="I5" s="3" t="s">
        <v>31</v>
      </c>
      <c r="J5" s="3" t="s">
        <v>32</v>
      </c>
    </row>
    <row r="6" spans="1:10" ht="20.25" customHeight="1" x14ac:dyDescent="0.15">
      <c r="A6" s="1">
        <v>5</v>
      </c>
      <c r="B6" s="2" t="s">
        <v>33</v>
      </c>
      <c r="C6" s="30"/>
      <c r="E6" s="3" t="str">
        <f t="shared" si="0"/>
        <v>ps_5_km.mp3</v>
      </c>
      <c r="F6" s="3" t="s">
        <v>34</v>
      </c>
      <c r="G6" s="3" t="s">
        <v>35</v>
      </c>
      <c r="H6" s="3" t="s">
        <v>36</v>
      </c>
      <c r="I6" s="3" t="s">
        <v>37</v>
      </c>
      <c r="J6" s="3" t="s">
        <v>38</v>
      </c>
    </row>
    <row r="7" spans="1:10" ht="20.25" customHeight="1" x14ac:dyDescent="0.15">
      <c r="A7" s="1">
        <v>6</v>
      </c>
      <c r="B7" s="2" t="s">
        <v>39</v>
      </c>
      <c r="C7" s="30"/>
      <c r="E7" s="3" t="str">
        <f t="shared" si="0"/>
        <v>ps_6_km.mp3</v>
      </c>
      <c r="F7" s="3" t="s">
        <v>40</v>
      </c>
      <c r="G7" s="3" t="s">
        <v>41</v>
      </c>
      <c r="H7" s="3" t="s">
        <v>42</v>
      </c>
      <c r="I7" s="3" t="s">
        <v>43</v>
      </c>
      <c r="J7" s="3" t="s">
        <v>44</v>
      </c>
    </row>
    <row r="8" spans="1:10" ht="20.25" customHeight="1" x14ac:dyDescent="0.15">
      <c r="A8" s="1">
        <v>7</v>
      </c>
      <c r="B8" s="2" t="s">
        <v>45</v>
      </c>
      <c r="C8" s="30"/>
      <c r="E8" s="3" t="str">
        <f t="shared" si="0"/>
        <v>ps_7_km.mp3</v>
      </c>
      <c r="F8" s="3" t="s">
        <v>46</v>
      </c>
      <c r="G8" s="3" t="s">
        <v>47</v>
      </c>
      <c r="H8" s="3" t="s">
        <v>48</v>
      </c>
      <c r="I8" s="3" t="s">
        <v>49</v>
      </c>
      <c r="J8" s="3" t="s">
        <v>50</v>
      </c>
    </row>
    <row r="9" spans="1:10" ht="20.25" customHeight="1" x14ac:dyDescent="0.15">
      <c r="A9" s="1">
        <v>8</v>
      </c>
      <c r="B9" s="2" t="s">
        <v>51</v>
      </c>
      <c r="C9" s="30"/>
      <c r="E9" s="3" t="str">
        <f t="shared" si="0"/>
        <v>ps_8_km.mp3</v>
      </c>
      <c r="F9" s="3" t="s">
        <v>52</v>
      </c>
      <c r="G9" s="3" t="s">
        <v>53</v>
      </c>
      <c r="H9" s="3" t="s">
        <v>54</v>
      </c>
      <c r="I9" s="3" t="s">
        <v>55</v>
      </c>
      <c r="J9" s="3" t="s">
        <v>56</v>
      </c>
    </row>
    <row r="10" spans="1:10" ht="20.25" customHeight="1" x14ac:dyDescent="0.15">
      <c r="A10" s="1">
        <v>9</v>
      </c>
      <c r="B10" s="2" t="s">
        <v>57</v>
      </c>
      <c r="C10" s="30"/>
      <c r="E10" s="3" t="str">
        <f t="shared" si="0"/>
        <v>ps_9_km.mp3</v>
      </c>
      <c r="F10" s="3" t="s">
        <v>58</v>
      </c>
      <c r="G10" s="3" t="s">
        <v>59</v>
      </c>
      <c r="H10" s="3" t="s">
        <v>60</v>
      </c>
      <c r="I10" s="3" t="s">
        <v>61</v>
      </c>
      <c r="J10" s="3" t="s">
        <v>62</v>
      </c>
    </row>
    <row r="11" spans="1:10" ht="20.25" customHeight="1" x14ac:dyDescent="0.15">
      <c r="A11" s="1">
        <v>10</v>
      </c>
      <c r="B11" s="2" t="s">
        <v>63</v>
      </c>
      <c r="C11" s="30"/>
      <c r="E11" s="3" t="str">
        <f t="shared" si="0"/>
        <v>ps_10_km.mp3</v>
      </c>
      <c r="F11" s="3" t="s">
        <v>64</v>
      </c>
      <c r="G11" s="3" t="s">
        <v>65</v>
      </c>
      <c r="H11" s="3" t="s">
        <v>66</v>
      </c>
      <c r="I11" s="3" t="s">
        <v>67</v>
      </c>
      <c r="J11" s="3" t="s">
        <v>68</v>
      </c>
    </row>
    <row r="12" spans="1:10" ht="20.25" customHeight="1" x14ac:dyDescent="0.15">
      <c r="A12" s="1"/>
      <c r="B12" s="2"/>
      <c r="C12" s="30"/>
      <c r="E12" s="3"/>
      <c r="F12" s="3"/>
      <c r="G12" s="3"/>
      <c r="H12" s="3"/>
      <c r="I12" s="3"/>
      <c r="J12" s="3"/>
    </row>
    <row r="13" spans="1:10" ht="20.25" customHeight="1" x14ac:dyDescent="0.15">
      <c r="A13" s="1"/>
      <c r="B13" s="2"/>
      <c r="C13" s="30"/>
      <c r="E13" s="3"/>
      <c r="F13" s="3"/>
      <c r="G13" s="3"/>
      <c r="H13" s="3"/>
      <c r="I13" s="3"/>
      <c r="J13" s="3"/>
    </row>
    <row r="14" spans="1:10" ht="20.25" customHeight="1" x14ac:dyDescent="0.15">
      <c r="A14" s="1"/>
      <c r="B14" s="2"/>
      <c r="C14" s="30"/>
      <c r="E14" s="3"/>
      <c r="F14" s="3"/>
      <c r="G14" s="3"/>
      <c r="H14" s="3"/>
      <c r="I14" s="3"/>
      <c r="J14" s="3"/>
    </row>
    <row r="15" spans="1:10" ht="20.25" customHeight="1" x14ac:dyDescent="0.15">
      <c r="A15" s="1"/>
      <c r="B15" s="2"/>
      <c r="C15" s="30"/>
      <c r="E15" s="3"/>
      <c r="F15" s="3"/>
      <c r="G15" s="3"/>
      <c r="H15" s="3"/>
      <c r="I15" s="3"/>
      <c r="J15" s="3"/>
    </row>
    <row r="16" spans="1:10" ht="20.25" customHeight="1" x14ac:dyDescent="0.15">
      <c r="A16" s="1"/>
      <c r="B16" s="4"/>
      <c r="C16" s="31"/>
      <c r="E16" s="3"/>
      <c r="F16" s="3"/>
      <c r="G16" s="3"/>
      <c r="H16" s="3"/>
      <c r="I16" s="3"/>
      <c r="J16" s="3"/>
    </row>
    <row r="17" spans="1:10" ht="20.25" customHeight="1" x14ac:dyDescent="0.15">
      <c r="A17" s="1"/>
      <c r="B17" s="2"/>
      <c r="C17" s="30"/>
      <c r="E17" s="3"/>
      <c r="F17" s="3"/>
      <c r="G17" s="3"/>
      <c r="H17" s="3"/>
      <c r="I17" s="3"/>
      <c r="J17" s="3"/>
    </row>
    <row r="18" spans="1:10" ht="20.25" customHeight="1" x14ac:dyDescent="0.15">
      <c r="A18" s="1"/>
      <c r="B18" s="2"/>
      <c r="C18" s="30"/>
      <c r="E18" s="3"/>
      <c r="F18" s="3"/>
      <c r="G18" s="3"/>
      <c r="H18" s="3"/>
      <c r="I18" s="3"/>
      <c r="J18" s="3"/>
    </row>
    <row r="19" spans="1:10" ht="20.25" customHeight="1" x14ac:dyDescent="0.15">
      <c r="A19" s="1"/>
      <c r="B19" s="2"/>
      <c r="C19" s="30"/>
      <c r="E19" s="3"/>
      <c r="F19" s="3"/>
      <c r="G19" s="3"/>
      <c r="H19" s="3"/>
      <c r="I19" s="3"/>
      <c r="J19" s="3"/>
    </row>
    <row r="20" spans="1:10" ht="20.25" customHeight="1" x14ac:dyDescent="0.15">
      <c r="A20" s="1"/>
      <c r="B20" s="2"/>
      <c r="C20" s="30"/>
      <c r="E20" s="3"/>
      <c r="F20" s="3"/>
      <c r="G20" s="3"/>
      <c r="H20" s="3"/>
      <c r="I20" s="3"/>
      <c r="J20" s="3"/>
    </row>
    <row r="21" spans="1:10" ht="20.25" customHeight="1" x14ac:dyDescent="0.15">
      <c r="A21" s="1"/>
      <c r="B21" s="2"/>
      <c r="C21" s="30"/>
      <c r="E21" s="3"/>
      <c r="F21" s="3"/>
      <c r="G21" s="3"/>
      <c r="H21" s="3"/>
      <c r="I21" s="3"/>
      <c r="J21" s="3"/>
    </row>
    <row r="22" spans="1:10" ht="20.25" customHeight="1" x14ac:dyDescent="0.15">
      <c r="A22" s="1"/>
      <c r="B22" s="2"/>
      <c r="C22" s="30"/>
      <c r="E22" s="3"/>
      <c r="F22" s="3"/>
      <c r="G22" s="3"/>
      <c r="H22" s="3"/>
      <c r="I22" s="3"/>
      <c r="J22" s="3"/>
    </row>
    <row r="23" spans="1:10" ht="20.25" customHeight="1" x14ac:dyDescent="0.15">
      <c r="A23" s="1"/>
      <c r="B23" s="2"/>
      <c r="C23" s="30"/>
      <c r="E23" s="3"/>
      <c r="F23" s="3"/>
      <c r="G23" s="3"/>
      <c r="H23" s="3"/>
      <c r="I23" s="3"/>
      <c r="J23" s="3"/>
    </row>
    <row r="24" spans="1:10" ht="20.25" customHeight="1" x14ac:dyDescent="0.15">
      <c r="A24" s="1"/>
      <c r="B24" s="2"/>
      <c r="C24" s="30"/>
      <c r="E24" s="3"/>
      <c r="F24" s="3"/>
      <c r="G24" s="3"/>
      <c r="H24" s="3"/>
      <c r="I24" s="3"/>
      <c r="J24" s="3"/>
    </row>
    <row r="25" spans="1:10" ht="20.25" customHeight="1" x14ac:dyDescent="0.15">
      <c r="A25" s="1"/>
      <c r="B25" s="2"/>
      <c r="C25" s="30"/>
      <c r="E25" s="3"/>
      <c r="F25" s="3"/>
      <c r="G25" s="3"/>
      <c r="H25" s="3"/>
      <c r="I25" s="3"/>
      <c r="J25" s="3"/>
    </row>
    <row r="26" spans="1:10" ht="20.25" customHeight="1" x14ac:dyDescent="0.15">
      <c r="A26" s="1"/>
      <c r="B26" s="4"/>
      <c r="C26" s="31"/>
      <c r="E26" s="3"/>
      <c r="F26" s="3"/>
      <c r="G26" s="3"/>
      <c r="H26" s="3"/>
      <c r="I26" s="3"/>
      <c r="J26" s="3"/>
    </row>
    <row r="27" spans="1:10" ht="20.25" customHeight="1" x14ac:dyDescent="0.15">
      <c r="A27" s="1"/>
      <c r="B27" s="2"/>
      <c r="C27" s="30"/>
      <c r="E27" s="3"/>
      <c r="F27" s="3"/>
      <c r="G27" s="3"/>
      <c r="H27" s="3"/>
      <c r="I27" s="3"/>
      <c r="J27" s="3"/>
    </row>
    <row r="28" spans="1:10" ht="20.25" customHeight="1" x14ac:dyDescent="0.15">
      <c r="A28" s="1"/>
      <c r="B28" s="2"/>
      <c r="C28" s="30"/>
      <c r="E28" s="3"/>
      <c r="F28" s="3"/>
      <c r="G28" s="3"/>
      <c r="H28" s="3"/>
      <c r="I28" s="3"/>
      <c r="J28" s="3"/>
    </row>
    <row r="29" spans="1:10" ht="20.25" customHeight="1" x14ac:dyDescent="0.15">
      <c r="A29" s="1"/>
      <c r="B29" s="2"/>
      <c r="C29" s="30"/>
      <c r="E29" s="3"/>
      <c r="F29" s="3"/>
      <c r="G29" s="3"/>
      <c r="H29" s="3"/>
      <c r="I29" s="3"/>
      <c r="J29" s="3"/>
    </row>
    <row r="30" spans="1:10" ht="20.25" customHeight="1" x14ac:dyDescent="0.15">
      <c r="A30" s="1"/>
      <c r="B30" s="2"/>
      <c r="C30" s="30"/>
      <c r="E30" s="3"/>
      <c r="F30" s="3"/>
      <c r="G30" s="3"/>
      <c r="H30" s="3"/>
      <c r="I30" s="3"/>
      <c r="J30" s="3"/>
    </row>
    <row r="31" spans="1:10" ht="20.25" customHeight="1" x14ac:dyDescent="0.15">
      <c r="A31" s="1"/>
      <c r="B31" s="2"/>
      <c r="C31" s="30"/>
      <c r="E31" s="3"/>
      <c r="F31" s="3"/>
      <c r="G31" s="3"/>
      <c r="H31" s="3"/>
      <c r="I31" s="3"/>
      <c r="J31" s="3"/>
    </row>
    <row r="32" spans="1:10" ht="20.25" customHeight="1" x14ac:dyDescent="0.15">
      <c r="A32" s="1"/>
      <c r="B32" s="2"/>
      <c r="C32" s="30"/>
      <c r="E32" s="3"/>
      <c r="F32" s="3"/>
      <c r="G32" s="3"/>
      <c r="H32" s="3"/>
      <c r="I32" s="3"/>
      <c r="J32" s="3"/>
    </row>
    <row r="33" spans="1:10" ht="20.25" customHeight="1" x14ac:dyDescent="0.15">
      <c r="A33" s="1"/>
      <c r="B33" s="4"/>
      <c r="C33" s="31"/>
      <c r="E33" s="3"/>
      <c r="F33" s="3"/>
      <c r="G33" s="3"/>
      <c r="H33" s="3"/>
      <c r="I33" s="3"/>
      <c r="J33" s="3"/>
    </row>
    <row r="34" spans="1:10" ht="20.25" customHeight="1" x14ac:dyDescent="0.15">
      <c r="A34" s="1"/>
      <c r="B34" s="2"/>
      <c r="C34" s="30"/>
      <c r="E34" s="3"/>
      <c r="F34" s="3"/>
      <c r="G34" s="3"/>
      <c r="H34" s="3"/>
      <c r="I34" s="3"/>
      <c r="J34" s="3"/>
    </row>
    <row r="35" spans="1:10" ht="20.25" customHeight="1" x14ac:dyDescent="0.15">
      <c r="A35" s="1"/>
      <c r="B35" s="2"/>
      <c r="C35" s="30"/>
      <c r="E35" s="3"/>
      <c r="F35" s="3"/>
      <c r="G35" s="3"/>
      <c r="H35" s="3"/>
      <c r="I35" s="3"/>
      <c r="J35" s="3"/>
    </row>
    <row r="36" spans="1:10" ht="20.25" customHeight="1" x14ac:dyDescent="0.15">
      <c r="A36" s="1"/>
      <c r="B36" s="3"/>
      <c r="C36" s="32"/>
      <c r="E36" s="3"/>
      <c r="F36" s="3"/>
      <c r="G36" s="3"/>
      <c r="H36" s="3"/>
      <c r="I36" s="3"/>
      <c r="J36" s="3"/>
    </row>
    <row r="37" spans="1:10" ht="20.25" customHeight="1" x14ac:dyDescent="0.15">
      <c r="A37" s="1"/>
      <c r="B37" s="3"/>
      <c r="C37" s="32"/>
      <c r="E37" s="3"/>
      <c r="F37" s="3"/>
      <c r="G37" s="3"/>
      <c r="H37" s="3"/>
      <c r="I37" s="3"/>
      <c r="J37" s="3"/>
    </row>
    <row r="38" spans="1:10" ht="20.25" customHeight="1" x14ac:dyDescent="0.15">
      <c r="A38" s="1"/>
      <c r="B38" s="3"/>
      <c r="C38" s="32"/>
      <c r="E38" s="3"/>
      <c r="F38" s="3"/>
      <c r="G38" s="3"/>
      <c r="H38" s="3"/>
      <c r="I38" s="3"/>
      <c r="J38" s="3"/>
    </row>
    <row r="39" spans="1:10" ht="20.25" customHeight="1" x14ac:dyDescent="0.15">
      <c r="A39" s="1"/>
      <c r="B39" s="5"/>
      <c r="C39" s="33"/>
      <c r="E39" s="5"/>
      <c r="F39" s="5"/>
      <c r="G39" s="5"/>
      <c r="H39" s="5"/>
      <c r="I39" s="5"/>
      <c r="J39" s="5"/>
    </row>
    <row r="40" spans="1:10" ht="20.25" customHeight="1" x14ac:dyDescent="0.15">
      <c r="A40" s="1"/>
      <c r="B40" s="5"/>
      <c r="C40" s="33"/>
      <c r="E40" s="5"/>
      <c r="F40" s="5"/>
      <c r="G40" s="5"/>
      <c r="H40" s="5"/>
      <c r="I40" s="5"/>
      <c r="J40" s="5"/>
    </row>
    <row r="41" spans="1:10" ht="20.25" customHeight="1" x14ac:dyDescent="0.15">
      <c r="A41" s="1"/>
      <c r="B41" s="5"/>
      <c r="C41" s="33"/>
      <c r="E41" s="5"/>
      <c r="F41" s="5"/>
      <c r="G41" s="5"/>
      <c r="H41" s="5"/>
      <c r="I41" s="5"/>
      <c r="J41" s="5"/>
    </row>
    <row r="42" spans="1:10" ht="20.25" customHeight="1" x14ac:dyDescent="0.15">
      <c r="A42" s="1"/>
      <c r="B42" s="5"/>
      <c r="C42" s="33"/>
      <c r="E42" s="5"/>
      <c r="F42" s="5"/>
      <c r="G42" s="5"/>
      <c r="H42" s="5"/>
      <c r="I42" s="5"/>
      <c r="J42" s="5"/>
    </row>
    <row r="43" spans="1:10" ht="20.25" customHeight="1" x14ac:dyDescent="0.15">
      <c r="A43" s="1"/>
      <c r="B43" s="5"/>
      <c r="C43" s="33"/>
      <c r="E43" s="5"/>
      <c r="F43" s="5"/>
      <c r="G43" s="5"/>
      <c r="H43" s="5"/>
      <c r="I43" s="5"/>
      <c r="J43" s="5"/>
    </row>
    <row r="44" spans="1:10" ht="20.25" customHeight="1" x14ac:dyDescent="0.15">
      <c r="A44" s="1"/>
      <c r="B44" s="5"/>
      <c r="C44" s="33"/>
      <c r="E44" s="5"/>
      <c r="F44" s="5"/>
      <c r="G44" s="5"/>
      <c r="H44" s="5"/>
      <c r="I44" s="5"/>
      <c r="J44" s="5"/>
    </row>
    <row r="45" spans="1:10" ht="20.25" customHeight="1" x14ac:dyDescent="0.15">
      <c r="A45" s="1"/>
      <c r="B45" s="5"/>
      <c r="C45" s="33"/>
      <c r="E45" s="5"/>
      <c r="F45" s="5"/>
      <c r="G45" s="5"/>
      <c r="H45" s="5"/>
      <c r="I45" s="5"/>
      <c r="J45" s="5"/>
    </row>
    <row r="46" spans="1:10" ht="20.25" customHeight="1" x14ac:dyDescent="0.15">
      <c r="A46" s="1"/>
      <c r="B46" s="5"/>
      <c r="C46" s="33"/>
      <c r="E46" s="5"/>
      <c r="F46" s="5"/>
      <c r="G46" s="5"/>
      <c r="H46" s="5"/>
      <c r="I46" s="5"/>
      <c r="J46" s="5"/>
    </row>
    <row r="47" spans="1:10" ht="20.25" customHeight="1" x14ac:dyDescent="0.15">
      <c r="A47" s="1"/>
      <c r="B47" s="5"/>
      <c r="C47" s="33"/>
      <c r="E47" s="5"/>
      <c r="F47" s="5"/>
      <c r="G47" s="5"/>
      <c r="H47" s="5"/>
      <c r="I47" s="5"/>
      <c r="J47" s="5"/>
    </row>
    <row r="48" spans="1:10" ht="20.25" customHeight="1" x14ac:dyDescent="0.15">
      <c r="A48" s="1"/>
      <c r="B48" s="5"/>
      <c r="C48" s="33"/>
      <c r="E48" s="5"/>
      <c r="F48" s="5"/>
      <c r="G48" s="5"/>
      <c r="H48" s="5"/>
      <c r="I48" s="5"/>
      <c r="J48" s="5"/>
    </row>
    <row r="49" spans="1:10" ht="20.25" customHeight="1" x14ac:dyDescent="0.15">
      <c r="A49" s="1"/>
      <c r="B49" s="5"/>
      <c r="C49" s="33"/>
      <c r="E49" s="5"/>
      <c r="F49" s="5"/>
      <c r="G49" s="5"/>
      <c r="H49" s="5"/>
      <c r="I49" s="5"/>
      <c r="J49" s="5"/>
    </row>
    <row r="50" spans="1:10" ht="20.25" customHeight="1" x14ac:dyDescent="0.15">
      <c r="A50" s="1"/>
      <c r="B50" s="5"/>
      <c r="C50" s="33"/>
      <c r="E50" s="5"/>
      <c r="F50" s="5"/>
      <c r="G50" s="5"/>
      <c r="H50" s="5"/>
      <c r="I50" s="5"/>
      <c r="J50" s="5"/>
    </row>
    <row r="51" spans="1:10" ht="20.25" customHeight="1" x14ac:dyDescent="0.15">
      <c r="A51" s="1"/>
      <c r="B51" s="5"/>
      <c r="C51" s="33"/>
      <c r="E51" s="5"/>
      <c r="F51" s="5"/>
      <c r="G51" s="5"/>
      <c r="H51" s="5"/>
      <c r="I51" s="5"/>
      <c r="J51" s="5"/>
    </row>
    <row r="52" spans="1:10" ht="20.25" customHeight="1" x14ac:dyDescent="0.15">
      <c r="A52" s="1"/>
      <c r="B52" s="5"/>
      <c r="C52" s="33"/>
      <c r="E52" s="5"/>
      <c r="F52" s="5"/>
      <c r="G52" s="5"/>
      <c r="H52" s="5"/>
      <c r="I52" s="5"/>
      <c r="J52" s="5"/>
    </row>
    <row r="53" spans="1:10" ht="20.25" customHeight="1" x14ac:dyDescent="0.15">
      <c r="A53" s="1"/>
      <c r="B53" s="5"/>
      <c r="C53" s="33"/>
      <c r="E53" s="5"/>
      <c r="F53" s="5"/>
      <c r="G53" s="5"/>
      <c r="H53" s="5"/>
      <c r="I53" s="5"/>
      <c r="J53" s="5"/>
    </row>
    <row r="54" spans="1:10" ht="20.25" customHeight="1" x14ac:dyDescent="0.15">
      <c r="A54" s="1"/>
      <c r="B54" s="5"/>
      <c r="C54" s="33"/>
      <c r="E54" s="5"/>
      <c r="F54" s="5"/>
      <c r="G54" s="5"/>
      <c r="H54" s="5"/>
      <c r="I54" s="5"/>
      <c r="J54" s="5"/>
    </row>
    <row r="55" spans="1:10" ht="20.25" customHeight="1" x14ac:dyDescent="0.15">
      <c r="A55" s="1"/>
      <c r="B55" s="5"/>
      <c r="C55" s="33"/>
      <c r="E55" s="5"/>
      <c r="F55" s="5"/>
      <c r="G55" s="5"/>
      <c r="H55" s="5"/>
      <c r="I55" s="5"/>
      <c r="J55" s="5"/>
    </row>
    <row r="56" spans="1:10" ht="20.25" customHeight="1" x14ac:dyDescent="0.15">
      <c r="A56" s="1"/>
      <c r="B56" s="5"/>
      <c r="C56" s="33"/>
      <c r="E56" s="5"/>
      <c r="F56" s="5"/>
      <c r="G56" s="5"/>
      <c r="H56" s="5"/>
      <c r="I56" s="5"/>
      <c r="J56" s="5"/>
    </row>
    <row r="57" spans="1:10" ht="20.25" customHeight="1" x14ac:dyDescent="0.15">
      <c r="A57" s="1"/>
      <c r="B57" s="5"/>
      <c r="C57" s="33"/>
      <c r="E57" s="5"/>
      <c r="F57" s="5"/>
      <c r="G57" s="5"/>
      <c r="H57" s="5"/>
      <c r="I57" s="5"/>
      <c r="J57" s="5"/>
    </row>
    <row r="58" spans="1:10" ht="20.25" customHeight="1" x14ac:dyDescent="0.15">
      <c r="A58" s="1"/>
      <c r="B58" s="5"/>
      <c r="C58" s="33"/>
      <c r="E58" s="5"/>
      <c r="F58" s="5"/>
      <c r="G58" s="5"/>
      <c r="H58" s="5"/>
      <c r="I58" s="5"/>
      <c r="J58" s="5"/>
    </row>
    <row r="59" spans="1:10" ht="20.25" customHeight="1" x14ac:dyDescent="0.15">
      <c r="A59" s="1"/>
      <c r="B59" s="5"/>
      <c r="C59" s="33"/>
      <c r="E59" s="5"/>
      <c r="F59" s="5"/>
      <c r="G59" s="5"/>
      <c r="H59" s="5"/>
      <c r="I59" s="5"/>
      <c r="J59" s="5"/>
    </row>
    <row r="60" spans="1:10" ht="20.25" customHeight="1" x14ac:dyDescent="0.15">
      <c r="A60" s="1"/>
      <c r="B60" s="5"/>
      <c r="C60" s="33"/>
      <c r="E60" s="5"/>
      <c r="F60" s="5"/>
      <c r="G60" s="5"/>
      <c r="H60" s="5"/>
      <c r="I60" s="5"/>
      <c r="J60" s="5"/>
    </row>
    <row r="61" spans="1:10" ht="20.25" customHeight="1" x14ac:dyDescent="0.15">
      <c r="A61" s="1"/>
      <c r="B61" s="5"/>
      <c r="C61" s="33"/>
      <c r="E61" s="5"/>
      <c r="F61" s="5"/>
      <c r="G61" s="5"/>
      <c r="H61" s="5"/>
      <c r="I61" s="5"/>
      <c r="J61" s="5"/>
    </row>
    <row r="62" spans="1:10" ht="20.25" customHeight="1" x14ac:dyDescent="0.15">
      <c r="A62" s="1"/>
      <c r="B62" s="5"/>
      <c r="C62" s="33"/>
      <c r="E62" s="5"/>
      <c r="F62" s="5"/>
      <c r="G62" s="5"/>
      <c r="H62" s="5"/>
      <c r="I62" s="5"/>
      <c r="J62" s="5"/>
    </row>
    <row r="63" spans="1:10" ht="20.25" customHeight="1" x14ac:dyDescent="0.15">
      <c r="A63" s="1"/>
      <c r="B63" s="5"/>
      <c r="C63" s="33"/>
      <c r="E63" s="5"/>
      <c r="F63" s="5"/>
      <c r="G63" s="5"/>
      <c r="H63" s="5"/>
      <c r="I63" s="5"/>
      <c r="J63" s="5"/>
    </row>
    <row r="64" spans="1:10" ht="20.25" customHeight="1" x14ac:dyDescent="0.15">
      <c r="A64" s="1"/>
      <c r="B64" s="5"/>
      <c r="C64" s="33"/>
      <c r="E64" s="5"/>
      <c r="F64" s="5"/>
      <c r="G64" s="5"/>
      <c r="H64" s="5"/>
      <c r="I64" s="5"/>
      <c r="J64" s="5"/>
    </row>
    <row r="65" spans="1:10" ht="20.25" customHeight="1" x14ac:dyDescent="0.15">
      <c r="A65" s="1"/>
      <c r="B65" s="5"/>
      <c r="C65" s="33"/>
      <c r="E65" s="5"/>
      <c r="F65" s="5"/>
      <c r="G65" s="5"/>
      <c r="H65" s="5"/>
      <c r="I65" s="5"/>
      <c r="J65" s="5"/>
    </row>
    <row r="66" spans="1:10" ht="20.25" customHeight="1" x14ac:dyDescent="0.15">
      <c r="A66" s="1"/>
      <c r="B66" s="5"/>
      <c r="C66" s="33"/>
      <c r="E66" s="5"/>
      <c r="F66" s="5"/>
      <c r="G66" s="5"/>
      <c r="H66" s="5"/>
      <c r="I66" s="5"/>
      <c r="J66" s="5"/>
    </row>
    <row r="67" spans="1:10" ht="20.25" customHeight="1" x14ac:dyDescent="0.15">
      <c r="A67" s="1"/>
      <c r="B67" s="5"/>
      <c r="C67" s="33"/>
      <c r="E67" s="5"/>
      <c r="F67" s="5"/>
      <c r="G67" s="5"/>
      <c r="H67" s="5"/>
      <c r="I67" s="5"/>
      <c r="J67" s="5"/>
    </row>
    <row r="68" spans="1:10" ht="20.25" customHeight="1" x14ac:dyDescent="0.15">
      <c r="A68" s="1"/>
      <c r="B68" s="5"/>
      <c r="C68" s="33"/>
      <c r="E68" s="5"/>
      <c r="F68" s="5"/>
      <c r="G68" s="5"/>
      <c r="H68" s="5"/>
      <c r="I68" s="5"/>
      <c r="J68" s="5"/>
    </row>
    <row r="69" spans="1:10" ht="20.25" customHeight="1" x14ac:dyDescent="0.15">
      <c r="A69" s="1"/>
      <c r="B69" s="5"/>
      <c r="C69" s="33"/>
      <c r="E69" s="5"/>
      <c r="F69" s="5"/>
      <c r="G69" s="5"/>
      <c r="H69" s="5"/>
      <c r="I69" s="5"/>
      <c r="J69" s="5"/>
    </row>
    <row r="70" spans="1:10" ht="20.25" customHeight="1" x14ac:dyDescent="0.15">
      <c r="A70" s="1"/>
      <c r="B70" s="5"/>
      <c r="C70" s="33"/>
      <c r="E70" s="5"/>
      <c r="F70" s="5"/>
      <c r="G70" s="5"/>
      <c r="H70" s="5"/>
      <c r="I70" s="5"/>
      <c r="J70" s="5"/>
    </row>
    <row r="71" spans="1:10" ht="20.25" customHeight="1" x14ac:dyDescent="0.15">
      <c r="A71" s="1"/>
      <c r="B71" s="5"/>
      <c r="C71" s="33"/>
      <c r="E71" s="5"/>
      <c r="F71" s="5"/>
      <c r="G71" s="5"/>
      <c r="H71" s="5"/>
      <c r="I71" s="5"/>
      <c r="J71" s="5"/>
    </row>
    <row r="72" spans="1:10" ht="20.25" customHeight="1" x14ac:dyDescent="0.15">
      <c r="A72" s="1"/>
      <c r="B72" s="5"/>
      <c r="C72" s="33"/>
      <c r="E72" s="5"/>
      <c r="F72" s="5"/>
      <c r="G72" s="5"/>
      <c r="H72" s="5"/>
      <c r="I72" s="5"/>
      <c r="J72" s="5"/>
    </row>
    <row r="73" spans="1:10" ht="20.25" customHeight="1" x14ac:dyDescent="0.15">
      <c r="A73" s="1"/>
      <c r="B73" s="5"/>
      <c r="C73" s="33"/>
      <c r="E73" s="5"/>
      <c r="F73" s="5"/>
      <c r="G73" s="5"/>
      <c r="H73" s="5"/>
      <c r="I73" s="5"/>
      <c r="J73" s="5"/>
    </row>
    <row r="74" spans="1:10" ht="20.25" customHeight="1" x14ac:dyDescent="0.15">
      <c r="A74" s="1"/>
      <c r="B74" s="5"/>
      <c r="C74" s="33"/>
      <c r="E74" s="5"/>
      <c r="F74" s="5"/>
      <c r="G74" s="5"/>
      <c r="H74" s="5"/>
      <c r="I74" s="5"/>
      <c r="J74" s="5"/>
    </row>
    <row r="75" spans="1:10" ht="20.25" customHeight="1" x14ac:dyDescent="0.15">
      <c r="A75" s="1"/>
      <c r="B75" s="5"/>
      <c r="C75" s="33"/>
      <c r="E75" s="5"/>
      <c r="F75" s="5"/>
      <c r="G75" s="5"/>
      <c r="H75" s="5"/>
      <c r="I75" s="5"/>
      <c r="J75" s="5"/>
    </row>
    <row r="76" spans="1:10" ht="20.25" customHeight="1" x14ac:dyDescent="0.15">
      <c r="A76" s="1"/>
      <c r="B76" s="5"/>
      <c r="C76" s="33"/>
      <c r="E76" s="5"/>
      <c r="F76" s="5"/>
      <c r="G76" s="5"/>
      <c r="H76" s="5"/>
      <c r="I76" s="5"/>
      <c r="J76" s="5"/>
    </row>
    <row r="77" spans="1:10" ht="20.25" customHeight="1" x14ac:dyDescent="0.15">
      <c r="A77" s="1"/>
      <c r="B77" s="5"/>
      <c r="C77" s="33"/>
      <c r="E77" s="5"/>
      <c r="F77" s="5"/>
      <c r="G77" s="5"/>
      <c r="H77" s="5"/>
      <c r="I77" s="5"/>
      <c r="J77" s="5"/>
    </row>
    <row r="78" spans="1:10" ht="20.25" customHeight="1" x14ac:dyDescent="0.15">
      <c r="A78" s="1"/>
      <c r="B78" s="5"/>
      <c r="C78" s="33"/>
      <c r="E78" s="5"/>
      <c r="F78" s="5"/>
      <c r="G78" s="5"/>
      <c r="H78" s="5"/>
      <c r="I78" s="5"/>
      <c r="J78" s="5"/>
    </row>
    <row r="79" spans="1:10" ht="20.25" customHeight="1" x14ac:dyDescent="0.15">
      <c r="A79" s="1"/>
      <c r="B79" s="5"/>
      <c r="C79" s="33"/>
      <c r="E79" s="5"/>
      <c r="F79" s="5"/>
      <c r="G79" s="5"/>
      <c r="H79" s="5"/>
      <c r="I79" s="5"/>
      <c r="J79" s="5"/>
    </row>
    <row r="80" spans="1:10" ht="20.25" customHeight="1" x14ac:dyDescent="0.15">
      <c r="A80" s="1"/>
      <c r="B80" s="5"/>
      <c r="C80" s="33"/>
      <c r="E80" s="5"/>
      <c r="F80" s="5"/>
      <c r="G80" s="5"/>
      <c r="H80" s="5"/>
      <c r="I80" s="5"/>
      <c r="J80" s="5"/>
    </row>
    <row r="81" spans="1:10" ht="20.25" customHeight="1" x14ac:dyDescent="0.15">
      <c r="A81" s="1"/>
      <c r="B81" s="5"/>
      <c r="C81" s="33"/>
      <c r="E81" s="5"/>
      <c r="F81" s="5"/>
      <c r="G81" s="5"/>
      <c r="H81" s="5"/>
      <c r="I81" s="5"/>
      <c r="J81" s="5"/>
    </row>
    <row r="82" spans="1:10" ht="20.25" customHeight="1" x14ac:dyDescent="0.15">
      <c r="A82" s="1"/>
      <c r="B82" s="5"/>
      <c r="C82" s="33"/>
      <c r="E82" s="5"/>
      <c r="F82" s="5"/>
      <c r="G82" s="5"/>
      <c r="H82" s="5"/>
      <c r="I82" s="5"/>
      <c r="J82" s="5"/>
    </row>
    <row r="83" spans="1:10" ht="20.25" customHeight="1" x14ac:dyDescent="0.15">
      <c r="A83" s="1"/>
      <c r="B83" s="5"/>
      <c r="C83" s="33"/>
      <c r="E83" s="5"/>
      <c r="F83" s="5"/>
      <c r="G83" s="5"/>
      <c r="H83" s="5"/>
      <c r="I83" s="5"/>
      <c r="J83" s="5"/>
    </row>
    <row r="84" spans="1:10" ht="20.25" customHeight="1" x14ac:dyDescent="0.15">
      <c r="A84" s="1"/>
      <c r="B84" s="5"/>
      <c r="C84" s="33"/>
      <c r="E84" s="5"/>
      <c r="F84" s="5"/>
      <c r="G84" s="5"/>
      <c r="H84" s="5"/>
      <c r="I84" s="5"/>
      <c r="J84" s="5"/>
    </row>
    <row r="85" spans="1:10" ht="20.25" customHeight="1" x14ac:dyDescent="0.15">
      <c r="A85" s="1"/>
      <c r="B85" s="5"/>
      <c r="C85" s="33"/>
      <c r="E85" s="5"/>
      <c r="F85" s="5"/>
      <c r="G85" s="5"/>
      <c r="H85" s="5"/>
      <c r="I85" s="5"/>
      <c r="J85" s="5"/>
    </row>
    <row r="86" spans="1:10" ht="20.25" customHeight="1" x14ac:dyDescent="0.15">
      <c r="A86" s="1"/>
      <c r="B86" s="5"/>
      <c r="C86" s="33"/>
      <c r="E86" s="5"/>
      <c r="F86" s="5"/>
      <c r="G86" s="5"/>
      <c r="H86" s="5"/>
      <c r="I86" s="5"/>
      <c r="J86" s="5"/>
    </row>
    <row r="87" spans="1:10" ht="20.25" customHeight="1" x14ac:dyDescent="0.15">
      <c r="A87" s="1"/>
      <c r="B87" s="5"/>
      <c r="C87" s="33"/>
      <c r="E87" s="5"/>
      <c r="F87" s="5"/>
      <c r="G87" s="5"/>
      <c r="H87" s="5"/>
      <c r="I87" s="5"/>
      <c r="J87" s="5"/>
    </row>
    <row r="88" spans="1:10" ht="20.25" customHeight="1" x14ac:dyDescent="0.15">
      <c r="A88" s="1"/>
      <c r="B88" s="5"/>
      <c r="C88" s="33"/>
      <c r="E88" s="5"/>
      <c r="F88" s="5"/>
      <c r="G88" s="5"/>
      <c r="H88" s="5"/>
      <c r="I88" s="5"/>
      <c r="J88" s="5"/>
    </row>
    <row r="89" spans="1:10" ht="20.25" customHeight="1" x14ac:dyDescent="0.15">
      <c r="A89" s="1"/>
      <c r="B89" s="5"/>
      <c r="C89" s="33"/>
      <c r="E89" s="5"/>
      <c r="F89" s="5"/>
      <c r="G89" s="5"/>
      <c r="H89" s="5"/>
      <c r="I89" s="5"/>
      <c r="J89" s="5"/>
    </row>
    <row r="90" spans="1:10" ht="20.25" customHeight="1" x14ac:dyDescent="0.15">
      <c r="A90" s="1"/>
      <c r="B90" s="5"/>
      <c r="C90" s="33"/>
      <c r="E90" s="5"/>
      <c r="F90" s="5"/>
      <c r="G90" s="5"/>
      <c r="H90" s="5"/>
      <c r="I90" s="5"/>
      <c r="J90" s="5"/>
    </row>
    <row r="91" spans="1:10" ht="20.25" customHeight="1" x14ac:dyDescent="0.15">
      <c r="A91" s="1"/>
      <c r="B91" s="5"/>
      <c r="C91" s="33"/>
      <c r="E91" s="5"/>
      <c r="F91" s="5"/>
      <c r="G91" s="5"/>
      <c r="H91" s="5"/>
      <c r="I91" s="5"/>
      <c r="J91" s="5"/>
    </row>
    <row r="92" spans="1:10" ht="20.25" customHeight="1" x14ac:dyDescent="0.15">
      <c r="A92" s="1"/>
      <c r="B92" s="5"/>
      <c r="C92" s="33"/>
      <c r="E92" s="5"/>
      <c r="F92" s="5"/>
      <c r="G92" s="5"/>
      <c r="H92" s="5"/>
      <c r="I92" s="5"/>
      <c r="J92" s="5"/>
    </row>
    <row r="93" spans="1:10" ht="20.25" customHeight="1" x14ac:dyDescent="0.15">
      <c r="A93" s="1"/>
      <c r="B93" s="5"/>
      <c r="C93" s="33"/>
      <c r="E93" s="5"/>
      <c r="F93" s="5"/>
      <c r="G93" s="5"/>
      <c r="H93" s="5"/>
      <c r="I93" s="5"/>
      <c r="J93" s="5"/>
    </row>
    <row r="94" spans="1:10" ht="20.25" customHeight="1" x14ac:dyDescent="0.15">
      <c r="A94" s="1"/>
      <c r="B94" s="5"/>
      <c r="C94" s="33"/>
      <c r="E94" s="5"/>
      <c r="F94" s="5"/>
      <c r="G94" s="5"/>
      <c r="H94" s="5"/>
      <c r="I94" s="5"/>
      <c r="J94" s="5"/>
    </row>
    <row r="95" spans="1:10" ht="20.25" customHeight="1" x14ac:dyDescent="0.15">
      <c r="A95" s="1"/>
      <c r="B95" s="5"/>
      <c r="C95" s="33"/>
      <c r="E95" s="5"/>
      <c r="F95" s="5"/>
      <c r="G95" s="5"/>
      <c r="H95" s="5"/>
      <c r="I95" s="5"/>
      <c r="J95" s="5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J95"/>
  <sheetViews>
    <sheetView workbookViewId="0">
      <selection activeCell="E16" sqref="E16"/>
    </sheetView>
  </sheetViews>
  <sheetFormatPr baseColWidth="10" defaultColWidth="14.5" defaultRowHeight="15.75" customHeight="1" x14ac:dyDescent="0.15"/>
  <cols>
    <col min="1" max="1" width="3.6640625" customWidth="1"/>
    <col min="2" max="2" width="51.1640625" customWidth="1"/>
    <col min="3" max="3" width="3.6640625" bestFit="1" customWidth="1"/>
    <col min="4" max="4" width="4.1640625" bestFit="1" customWidth="1"/>
    <col min="5" max="9" width="24.5" customWidth="1"/>
  </cols>
  <sheetData>
    <row r="1" spans="1:10" ht="23" customHeight="1" x14ac:dyDescent="0.15">
      <c r="A1" s="35" t="s">
        <v>0</v>
      </c>
      <c r="B1" s="36" t="s">
        <v>1</v>
      </c>
      <c r="C1" s="34" t="s">
        <v>89</v>
      </c>
      <c r="D1" s="34" t="s">
        <v>2</v>
      </c>
      <c r="E1" s="36" t="s">
        <v>3</v>
      </c>
      <c r="F1" s="36" t="s">
        <v>4</v>
      </c>
      <c r="G1" s="36" t="s">
        <v>5</v>
      </c>
      <c r="H1" s="36" t="s">
        <v>6</v>
      </c>
      <c r="I1" s="36" t="s">
        <v>7</v>
      </c>
      <c r="J1" s="36" t="s">
        <v>8</v>
      </c>
    </row>
    <row r="2" spans="1:10" ht="20.25" customHeight="1" x14ac:dyDescent="0.15">
      <c r="A2" s="6">
        <v>1</v>
      </c>
      <c r="B2" s="7" t="s">
        <v>69</v>
      </c>
      <c r="C2" s="24"/>
      <c r="E2" s="6" t="str">
        <f t="shared" ref="E2:E11" si="0">"ca_"&amp;A2&amp;"_km.mp3"</f>
        <v>ca_1_km.mp3</v>
      </c>
      <c r="F2" s="6" t="str">
        <f t="shared" ref="F2:F11" si="1">"ca_"&amp;A2&amp;"_bn.mp3"</f>
        <v>ca_1_bn.mp3</v>
      </c>
      <c r="G2" s="6" t="str">
        <f t="shared" ref="G2:G11" si="2">"ca_"&amp;A2&amp;"_tp.mp3"</f>
        <v>ca_1_tp.mp3</v>
      </c>
      <c r="H2" s="6" t="str">
        <f t="shared" ref="H2:H11" si="3">"ca_"&amp;A2&amp;"_kr.mp3"</f>
        <v>ca_1_kr.mp3</v>
      </c>
      <c r="I2" s="6" t="str">
        <f t="shared" ref="I2:I11" si="4">"ca_"&amp;A2&amp;"_kv.mp3"</f>
        <v>ca_1_kv.mp3</v>
      </c>
      <c r="J2" s="6" t="str">
        <f t="shared" ref="J2:J11" si="5">"ca_"&amp;A2&amp;"_jr.mp3"</f>
        <v>ca_1_jr.mp3</v>
      </c>
    </row>
    <row r="3" spans="1:10" ht="20.25" customHeight="1" x14ac:dyDescent="0.15">
      <c r="A3" s="6">
        <v>2</v>
      </c>
      <c r="B3" s="7" t="s">
        <v>70</v>
      </c>
      <c r="C3" s="24"/>
      <c r="E3" s="6" t="str">
        <f t="shared" si="0"/>
        <v>ca_2_km.mp3</v>
      </c>
      <c r="F3" s="6" t="str">
        <f t="shared" si="1"/>
        <v>ca_2_bn.mp3</v>
      </c>
      <c r="G3" s="6" t="str">
        <f t="shared" si="2"/>
        <v>ca_2_tp.mp3</v>
      </c>
      <c r="H3" s="6" t="str">
        <f t="shared" si="3"/>
        <v>ca_2_kr.mp3</v>
      </c>
      <c r="I3" s="6" t="str">
        <f t="shared" si="4"/>
        <v>ca_2_kv.mp3</v>
      </c>
      <c r="J3" s="6" t="str">
        <f t="shared" si="5"/>
        <v>ca_2_jr.mp3</v>
      </c>
    </row>
    <row r="4" spans="1:10" ht="20.25" customHeight="1" x14ac:dyDescent="0.15">
      <c r="A4" s="6">
        <v>3</v>
      </c>
      <c r="B4" s="7" t="s">
        <v>71</v>
      </c>
      <c r="C4" s="24"/>
      <c r="E4" s="6" t="str">
        <f t="shared" si="0"/>
        <v>ca_3_km.mp3</v>
      </c>
      <c r="F4" s="6" t="str">
        <f t="shared" si="1"/>
        <v>ca_3_bn.mp3</v>
      </c>
      <c r="G4" s="6" t="str">
        <f t="shared" si="2"/>
        <v>ca_3_tp.mp3</v>
      </c>
      <c r="H4" s="6" t="str">
        <f t="shared" si="3"/>
        <v>ca_3_kr.mp3</v>
      </c>
      <c r="I4" s="6" t="str">
        <f t="shared" si="4"/>
        <v>ca_3_kv.mp3</v>
      </c>
      <c r="J4" s="6" t="str">
        <f t="shared" si="5"/>
        <v>ca_3_jr.mp3</v>
      </c>
    </row>
    <row r="5" spans="1:10" ht="20.25" customHeight="1" x14ac:dyDescent="0.15">
      <c r="A5" s="6">
        <v>4</v>
      </c>
      <c r="B5" s="7" t="s">
        <v>72</v>
      </c>
      <c r="C5" s="24"/>
      <c r="E5" s="6" t="str">
        <f t="shared" si="0"/>
        <v>ca_4_km.mp3</v>
      </c>
      <c r="F5" s="6" t="str">
        <f t="shared" si="1"/>
        <v>ca_4_bn.mp3</v>
      </c>
      <c r="G5" s="6" t="str">
        <f t="shared" si="2"/>
        <v>ca_4_tp.mp3</v>
      </c>
      <c r="H5" s="6" t="str">
        <f t="shared" si="3"/>
        <v>ca_4_kr.mp3</v>
      </c>
      <c r="I5" s="6" t="str">
        <f t="shared" si="4"/>
        <v>ca_4_kv.mp3</v>
      </c>
      <c r="J5" s="6" t="str">
        <f t="shared" si="5"/>
        <v>ca_4_jr.mp3</v>
      </c>
    </row>
    <row r="6" spans="1:10" ht="20.25" customHeight="1" x14ac:dyDescent="0.15">
      <c r="A6" s="6">
        <v>5</v>
      </c>
      <c r="B6" s="7" t="s">
        <v>73</v>
      </c>
      <c r="C6" s="24"/>
      <c r="E6" s="6" t="str">
        <f t="shared" si="0"/>
        <v>ca_5_km.mp3</v>
      </c>
      <c r="F6" s="6" t="str">
        <f t="shared" si="1"/>
        <v>ca_5_bn.mp3</v>
      </c>
      <c r="G6" s="6" t="str">
        <f t="shared" si="2"/>
        <v>ca_5_tp.mp3</v>
      </c>
      <c r="H6" s="6" t="str">
        <f t="shared" si="3"/>
        <v>ca_5_kr.mp3</v>
      </c>
      <c r="I6" s="6" t="str">
        <f t="shared" si="4"/>
        <v>ca_5_kv.mp3</v>
      </c>
      <c r="J6" s="6" t="str">
        <f t="shared" si="5"/>
        <v>ca_5_jr.mp3</v>
      </c>
    </row>
    <row r="7" spans="1:10" ht="20.25" customHeight="1" x14ac:dyDescent="0.15">
      <c r="A7" s="6">
        <v>6</v>
      </c>
      <c r="B7" s="7" t="s">
        <v>74</v>
      </c>
      <c r="C7" s="24"/>
      <c r="E7" s="6" t="str">
        <f t="shared" si="0"/>
        <v>ca_6_km.mp3</v>
      </c>
      <c r="F7" s="6" t="str">
        <f t="shared" si="1"/>
        <v>ca_6_bn.mp3</v>
      </c>
      <c r="G7" s="6" t="str">
        <f t="shared" si="2"/>
        <v>ca_6_tp.mp3</v>
      </c>
      <c r="H7" s="6" t="str">
        <f t="shared" si="3"/>
        <v>ca_6_kr.mp3</v>
      </c>
      <c r="I7" s="6" t="str">
        <f t="shared" si="4"/>
        <v>ca_6_kv.mp3</v>
      </c>
      <c r="J7" s="6" t="str">
        <f t="shared" si="5"/>
        <v>ca_6_jr.mp3</v>
      </c>
    </row>
    <row r="8" spans="1:10" ht="20.25" customHeight="1" x14ac:dyDescent="0.15">
      <c r="A8" s="6">
        <v>7</v>
      </c>
      <c r="B8" s="8" t="s">
        <v>75</v>
      </c>
      <c r="C8" s="25"/>
      <c r="E8" s="6" t="str">
        <f t="shared" si="0"/>
        <v>ca_7_km.mp3</v>
      </c>
      <c r="F8" s="6" t="str">
        <f t="shared" si="1"/>
        <v>ca_7_bn.mp3</v>
      </c>
      <c r="G8" s="6" t="str">
        <f t="shared" si="2"/>
        <v>ca_7_tp.mp3</v>
      </c>
      <c r="H8" s="6" t="str">
        <f t="shared" si="3"/>
        <v>ca_7_kr.mp3</v>
      </c>
      <c r="I8" s="6" t="str">
        <f t="shared" si="4"/>
        <v>ca_7_kv.mp3</v>
      </c>
      <c r="J8" s="6" t="str">
        <f t="shared" si="5"/>
        <v>ca_7_jr.mp3</v>
      </c>
    </row>
    <row r="9" spans="1:10" ht="20.25" customHeight="1" x14ac:dyDescent="0.15">
      <c r="A9" s="6">
        <v>8</v>
      </c>
      <c r="B9" s="7" t="s">
        <v>76</v>
      </c>
      <c r="C9" s="24"/>
      <c r="E9" s="6" t="str">
        <f t="shared" si="0"/>
        <v>ca_8_km.mp3</v>
      </c>
      <c r="F9" s="6" t="str">
        <f t="shared" si="1"/>
        <v>ca_8_bn.mp3</v>
      </c>
      <c r="G9" s="6" t="str">
        <f t="shared" si="2"/>
        <v>ca_8_tp.mp3</v>
      </c>
      <c r="H9" s="6" t="str">
        <f t="shared" si="3"/>
        <v>ca_8_kr.mp3</v>
      </c>
      <c r="I9" s="6" t="str">
        <f t="shared" si="4"/>
        <v>ca_8_kv.mp3</v>
      </c>
      <c r="J9" s="6" t="str">
        <f t="shared" si="5"/>
        <v>ca_8_jr.mp3</v>
      </c>
    </row>
    <row r="10" spans="1:10" ht="20.25" customHeight="1" x14ac:dyDescent="0.15">
      <c r="A10" s="6">
        <v>9</v>
      </c>
      <c r="B10" s="7" t="s">
        <v>77</v>
      </c>
      <c r="C10" s="24"/>
      <c r="E10" s="6" t="str">
        <f t="shared" si="0"/>
        <v>ca_9_km.mp3</v>
      </c>
      <c r="F10" s="6" t="str">
        <f t="shared" si="1"/>
        <v>ca_9_bn.mp3</v>
      </c>
      <c r="G10" s="6" t="str">
        <f t="shared" si="2"/>
        <v>ca_9_tp.mp3</v>
      </c>
      <c r="H10" s="6" t="str">
        <f t="shared" si="3"/>
        <v>ca_9_kr.mp3</v>
      </c>
      <c r="I10" s="6" t="str">
        <f t="shared" si="4"/>
        <v>ca_9_kv.mp3</v>
      </c>
      <c r="J10" s="6" t="str">
        <f t="shared" si="5"/>
        <v>ca_9_jr.mp3</v>
      </c>
    </row>
    <row r="11" spans="1:10" ht="20.25" customHeight="1" x14ac:dyDescent="0.15">
      <c r="A11" s="6">
        <v>10</v>
      </c>
      <c r="B11" s="7" t="s">
        <v>78</v>
      </c>
      <c r="C11" s="24"/>
      <c r="E11" s="6" t="str">
        <f t="shared" si="0"/>
        <v>ca_10_km.mp3</v>
      </c>
      <c r="F11" s="6" t="str">
        <f t="shared" si="1"/>
        <v>ca_10_bn.mp3</v>
      </c>
      <c r="G11" s="6" t="str">
        <f t="shared" si="2"/>
        <v>ca_10_tp.mp3</v>
      </c>
      <c r="H11" s="6" t="str">
        <f t="shared" si="3"/>
        <v>ca_10_kr.mp3</v>
      </c>
      <c r="I11" s="6" t="str">
        <f t="shared" si="4"/>
        <v>ca_10_kv.mp3</v>
      </c>
      <c r="J11" s="6" t="str">
        <f t="shared" si="5"/>
        <v>ca_10_jr.mp3</v>
      </c>
    </row>
    <row r="12" spans="1:10" ht="20.25" customHeight="1" x14ac:dyDescent="0.15">
      <c r="A12" s="6"/>
      <c r="B12" s="7"/>
      <c r="C12" s="24"/>
      <c r="E12" s="6"/>
      <c r="F12" s="6"/>
      <c r="G12" s="6"/>
      <c r="H12" s="6"/>
      <c r="I12" s="6"/>
      <c r="J12" s="6"/>
    </row>
    <row r="13" spans="1:10" ht="20.25" customHeight="1" x14ac:dyDescent="0.15">
      <c r="A13" s="6"/>
      <c r="B13" s="7"/>
      <c r="C13" s="24"/>
      <c r="E13" s="6"/>
      <c r="F13" s="6"/>
      <c r="G13" s="6"/>
      <c r="H13" s="6"/>
      <c r="I13" s="6"/>
      <c r="J13" s="6"/>
    </row>
    <row r="14" spans="1:10" ht="20.25" customHeight="1" x14ac:dyDescent="0.15">
      <c r="A14" s="6"/>
      <c r="B14" s="7"/>
      <c r="C14" s="24"/>
      <c r="E14" s="6"/>
      <c r="F14" s="6"/>
      <c r="G14" s="6"/>
      <c r="H14" s="6"/>
      <c r="I14" s="6"/>
      <c r="J14" s="6"/>
    </row>
    <row r="15" spans="1:10" ht="20.25" customHeight="1" x14ac:dyDescent="0.15">
      <c r="A15" s="6"/>
      <c r="B15" s="7"/>
      <c r="C15" s="24"/>
      <c r="E15" s="6"/>
      <c r="F15" s="6"/>
      <c r="G15" s="6"/>
      <c r="H15" s="6"/>
      <c r="I15" s="6"/>
      <c r="J15" s="6"/>
    </row>
    <row r="16" spans="1:10" ht="20.25" customHeight="1" x14ac:dyDescent="0.15">
      <c r="A16" s="6"/>
      <c r="B16" s="7"/>
      <c r="C16" s="24"/>
      <c r="E16" s="6"/>
      <c r="F16" s="6"/>
      <c r="G16" s="6"/>
      <c r="H16" s="6"/>
      <c r="I16" s="6"/>
      <c r="J16" s="6"/>
    </row>
    <row r="17" spans="1:10" ht="20.25" customHeight="1" x14ac:dyDescent="0.15">
      <c r="A17" s="6"/>
      <c r="B17" s="7"/>
      <c r="C17" s="24"/>
      <c r="E17" s="6"/>
      <c r="F17" s="6"/>
      <c r="G17" s="6"/>
      <c r="H17" s="6"/>
      <c r="I17" s="6"/>
      <c r="J17" s="6"/>
    </row>
    <row r="18" spans="1:10" ht="20.25" customHeight="1" x14ac:dyDescent="0.15">
      <c r="A18" s="6"/>
      <c r="B18" s="7"/>
      <c r="C18" s="24"/>
      <c r="E18" s="6"/>
      <c r="F18" s="6"/>
      <c r="G18" s="6"/>
      <c r="H18" s="6"/>
      <c r="I18" s="6"/>
      <c r="J18" s="6"/>
    </row>
    <row r="19" spans="1:10" ht="20.25" customHeight="1" x14ac:dyDescent="0.15">
      <c r="A19" s="6"/>
      <c r="B19" s="7"/>
      <c r="C19" s="24"/>
      <c r="E19" s="6"/>
      <c r="F19" s="6"/>
      <c r="G19" s="6"/>
      <c r="H19" s="6"/>
      <c r="I19" s="6"/>
      <c r="J19" s="6"/>
    </row>
    <row r="20" spans="1:10" ht="20.25" customHeight="1" x14ac:dyDescent="0.15">
      <c r="A20" s="6"/>
      <c r="B20" s="7"/>
      <c r="C20" s="24"/>
      <c r="E20" s="6"/>
      <c r="F20" s="6"/>
      <c r="G20" s="6"/>
      <c r="H20" s="6"/>
      <c r="I20" s="6"/>
      <c r="J20" s="6"/>
    </row>
    <row r="21" spans="1:10" ht="20.25" customHeight="1" x14ac:dyDescent="0.15">
      <c r="A21" s="6"/>
      <c r="B21" s="7"/>
      <c r="C21" s="24"/>
      <c r="E21" s="6"/>
      <c r="F21" s="6"/>
      <c r="G21" s="6"/>
      <c r="H21" s="6"/>
      <c r="I21" s="6"/>
      <c r="J21" s="6"/>
    </row>
    <row r="22" spans="1:10" ht="20.25" customHeight="1" x14ac:dyDescent="0.15">
      <c r="A22" s="6"/>
      <c r="B22" s="7"/>
      <c r="C22" s="24"/>
      <c r="E22" s="6"/>
      <c r="F22" s="6"/>
      <c r="G22" s="6"/>
      <c r="H22" s="6"/>
      <c r="I22" s="6"/>
      <c r="J22" s="6"/>
    </row>
    <row r="23" spans="1:10" ht="20.25" customHeight="1" x14ac:dyDescent="0.15">
      <c r="A23" s="6"/>
      <c r="B23" s="7"/>
      <c r="C23" s="24"/>
      <c r="E23" s="6"/>
      <c r="F23" s="6"/>
      <c r="G23" s="6"/>
      <c r="H23" s="6"/>
      <c r="I23" s="6"/>
      <c r="J23" s="6"/>
    </row>
    <row r="24" spans="1:10" ht="20.25" customHeight="1" x14ac:dyDescent="0.15">
      <c r="A24" s="6"/>
      <c r="B24" s="7"/>
      <c r="C24" s="24"/>
      <c r="E24" s="6"/>
      <c r="F24" s="6"/>
      <c r="G24" s="6"/>
      <c r="H24" s="6"/>
      <c r="I24" s="6"/>
      <c r="J24" s="6"/>
    </row>
    <row r="25" spans="1:10" ht="20.25" customHeight="1" x14ac:dyDescent="0.15">
      <c r="A25" s="6"/>
      <c r="B25" s="7"/>
      <c r="C25" s="24"/>
      <c r="E25" s="6"/>
      <c r="F25" s="6"/>
      <c r="G25" s="6"/>
      <c r="H25" s="6"/>
      <c r="I25" s="6"/>
      <c r="J25" s="6"/>
    </row>
    <row r="26" spans="1:10" ht="20.25" customHeight="1" x14ac:dyDescent="0.15">
      <c r="A26" s="6"/>
      <c r="B26" s="7"/>
      <c r="C26" s="24"/>
      <c r="E26" s="6"/>
      <c r="F26" s="6"/>
      <c r="G26" s="6"/>
      <c r="H26" s="6"/>
      <c r="I26" s="6"/>
      <c r="J26" s="6"/>
    </row>
    <row r="27" spans="1:10" ht="20.25" customHeight="1" x14ac:dyDescent="0.15">
      <c r="A27" s="6"/>
      <c r="B27" s="9"/>
      <c r="C27" s="29"/>
      <c r="E27" s="6"/>
      <c r="F27" s="6"/>
      <c r="G27" s="6"/>
      <c r="H27" s="6"/>
      <c r="I27" s="6"/>
      <c r="J27" s="6"/>
    </row>
    <row r="28" spans="1:10" ht="20.25" customHeight="1" x14ac:dyDescent="0.15">
      <c r="A28" s="6"/>
      <c r="B28" s="9"/>
      <c r="C28" s="29"/>
      <c r="E28" s="6"/>
      <c r="F28" s="6"/>
      <c r="G28" s="6"/>
      <c r="H28" s="6"/>
      <c r="I28" s="6"/>
      <c r="J28" s="6"/>
    </row>
    <row r="29" spans="1:10" ht="20.25" customHeight="1" x14ac:dyDescent="0.15">
      <c r="A29" s="6"/>
      <c r="B29" s="9"/>
      <c r="C29" s="29"/>
      <c r="E29" s="6"/>
      <c r="F29" s="6"/>
      <c r="G29" s="6"/>
      <c r="H29" s="6"/>
      <c r="I29" s="6"/>
      <c r="J29" s="6"/>
    </row>
    <row r="30" spans="1:10" ht="20.25" customHeight="1" x14ac:dyDescent="0.15">
      <c r="A30" s="6"/>
      <c r="B30" s="9"/>
      <c r="C30" s="29"/>
      <c r="E30" s="6"/>
      <c r="F30" s="6"/>
      <c r="G30" s="6"/>
      <c r="H30" s="6"/>
      <c r="I30" s="6"/>
      <c r="J30" s="6"/>
    </row>
    <row r="31" spans="1:10" ht="20.25" customHeight="1" x14ac:dyDescent="0.15">
      <c r="A31" s="6"/>
      <c r="B31" s="9"/>
      <c r="C31" s="29"/>
      <c r="E31" s="6"/>
      <c r="F31" s="6"/>
      <c r="G31" s="6"/>
      <c r="H31" s="6"/>
      <c r="I31" s="6"/>
      <c r="J31" s="6"/>
    </row>
    <row r="32" spans="1:10" ht="20.25" customHeight="1" x14ac:dyDescent="0.15">
      <c r="A32" s="6"/>
      <c r="B32" s="9"/>
      <c r="C32" s="29"/>
      <c r="E32" s="6"/>
      <c r="F32" s="6"/>
      <c r="G32" s="6"/>
      <c r="H32" s="6"/>
      <c r="I32" s="6"/>
      <c r="J32" s="6"/>
    </row>
    <row r="33" spans="1:10" ht="20.25" customHeight="1" x14ac:dyDescent="0.15">
      <c r="A33" s="6"/>
      <c r="B33" s="10"/>
      <c r="C33" s="28"/>
      <c r="E33" s="6"/>
      <c r="F33" s="6"/>
      <c r="G33" s="6"/>
      <c r="H33" s="6"/>
      <c r="I33" s="6"/>
      <c r="J33" s="6"/>
    </row>
    <row r="34" spans="1:10" ht="20.25" customHeight="1" x14ac:dyDescent="0.15">
      <c r="A34" s="6"/>
      <c r="B34" s="10"/>
      <c r="C34" s="28"/>
      <c r="E34" s="6"/>
      <c r="F34" s="6"/>
      <c r="G34" s="6"/>
      <c r="H34" s="6"/>
      <c r="I34" s="6"/>
      <c r="J34" s="6"/>
    </row>
    <row r="35" spans="1:10" ht="20.25" customHeight="1" x14ac:dyDescent="0.15">
      <c r="A35" s="6"/>
      <c r="B35" s="10"/>
      <c r="C35" s="28"/>
      <c r="E35" s="6"/>
      <c r="F35" s="6"/>
      <c r="G35" s="6"/>
      <c r="H35" s="6"/>
      <c r="I35" s="6"/>
      <c r="J35" s="6"/>
    </row>
    <row r="36" spans="1:10" ht="20.25" customHeight="1" x14ac:dyDescent="0.15">
      <c r="A36" s="6"/>
      <c r="B36" s="10"/>
      <c r="C36" s="28"/>
      <c r="E36" s="6"/>
      <c r="F36" s="6"/>
      <c r="G36" s="6"/>
      <c r="H36" s="6"/>
      <c r="I36" s="6"/>
      <c r="J36" s="6"/>
    </row>
    <row r="37" spans="1:10" ht="20.25" customHeight="1" x14ac:dyDescent="0.15">
      <c r="A37" s="6"/>
      <c r="B37" s="10"/>
      <c r="C37" s="28"/>
      <c r="E37" s="6"/>
      <c r="F37" s="6"/>
      <c r="G37" s="6"/>
      <c r="H37" s="6"/>
      <c r="I37" s="6"/>
      <c r="J37" s="6"/>
    </row>
    <row r="38" spans="1:10" ht="20.25" customHeight="1" x14ac:dyDescent="0.15">
      <c r="A38" s="6"/>
      <c r="B38" s="10"/>
      <c r="C38" s="28"/>
      <c r="E38" s="6"/>
      <c r="F38" s="6"/>
      <c r="G38" s="6"/>
      <c r="H38" s="6"/>
      <c r="I38" s="6"/>
      <c r="J38" s="6"/>
    </row>
    <row r="39" spans="1:10" ht="20.25" customHeight="1" x14ac:dyDescent="0.15">
      <c r="A39" s="6"/>
      <c r="B39" s="10"/>
      <c r="C39" s="28"/>
      <c r="E39" s="6"/>
      <c r="F39" s="6"/>
      <c r="G39" s="6"/>
      <c r="H39" s="6"/>
      <c r="I39" s="6"/>
      <c r="J39" s="6"/>
    </row>
    <row r="40" spans="1:10" ht="20.25" customHeight="1" x14ac:dyDescent="0.15">
      <c r="A40" s="6"/>
      <c r="B40" s="10"/>
      <c r="C40" s="28"/>
      <c r="E40" s="6"/>
      <c r="F40" s="6"/>
      <c r="G40" s="6"/>
      <c r="H40" s="6"/>
      <c r="I40" s="6"/>
      <c r="J40" s="6"/>
    </row>
    <row r="41" spans="1:10" ht="20.25" customHeight="1" x14ac:dyDescent="0.15">
      <c r="A41" s="6"/>
      <c r="B41" s="10"/>
      <c r="C41" s="28"/>
      <c r="E41" s="6"/>
      <c r="F41" s="6"/>
      <c r="G41" s="6"/>
      <c r="H41" s="6"/>
      <c r="I41" s="6"/>
      <c r="J41" s="6"/>
    </row>
    <row r="42" spans="1:10" ht="20.25" customHeight="1" x14ac:dyDescent="0.15">
      <c r="A42" s="6"/>
      <c r="B42" s="10"/>
      <c r="C42" s="28"/>
      <c r="E42" s="6"/>
      <c r="F42" s="6"/>
      <c r="G42" s="6"/>
      <c r="H42" s="6"/>
      <c r="I42" s="6"/>
      <c r="J42" s="6"/>
    </row>
    <row r="43" spans="1:10" ht="20.25" customHeight="1" x14ac:dyDescent="0.15">
      <c r="A43" s="6"/>
      <c r="B43" s="10"/>
      <c r="C43" s="28"/>
      <c r="E43" s="6"/>
      <c r="F43" s="6"/>
      <c r="G43" s="6"/>
      <c r="H43" s="6"/>
      <c r="I43" s="6"/>
      <c r="J43" s="6"/>
    </row>
    <row r="44" spans="1:10" ht="20.25" customHeight="1" x14ac:dyDescent="0.15">
      <c r="A44" s="6"/>
      <c r="B44" s="10"/>
      <c r="C44" s="28"/>
      <c r="E44" s="6"/>
      <c r="F44" s="6"/>
      <c r="G44" s="6"/>
      <c r="H44" s="6"/>
      <c r="I44" s="6"/>
      <c r="J44" s="6"/>
    </row>
    <row r="45" spans="1:10" ht="20.25" customHeight="1" x14ac:dyDescent="0.15">
      <c r="A45" s="6"/>
      <c r="B45" s="10"/>
      <c r="C45" s="28"/>
      <c r="E45" s="6"/>
      <c r="F45" s="6"/>
      <c r="G45" s="6"/>
      <c r="H45" s="6"/>
      <c r="I45" s="6"/>
      <c r="J45" s="6"/>
    </row>
    <row r="46" spans="1:10" ht="20.25" customHeight="1" x14ac:dyDescent="0.15">
      <c r="A46" s="6"/>
      <c r="B46" s="10"/>
      <c r="C46" s="28"/>
      <c r="E46" s="6"/>
      <c r="F46" s="6"/>
      <c r="G46" s="6"/>
      <c r="H46" s="6"/>
      <c r="I46" s="6"/>
      <c r="J46" s="6"/>
    </row>
    <row r="47" spans="1:10" ht="20.25" customHeight="1" x14ac:dyDescent="0.15">
      <c r="A47" s="6"/>
      <c r="B47" s="10"/>
      <c r="C47" s="28"/>
      <c r="E47" s="6"/>
      <c r="F47" s="6"/>
      <c r="G47" s="6"/>
      <c r="H47" s="6"/>
      <c r="I47" s="6"/>
      <c r="J47" s="6"/>
    </row>
    <row r="48" spans="1:10" ht="20.25" customHeight="1" x14ac:dyDescent="0.15">
      <c r="A48" s="6"/>
      <c r="B48" s="10"/>
      <c r="C48" s="28"/>
      <c r="E48" s="6"/>
      <c r="F48" s="6"/>
      <c r="G48" s="6"/>
      <c r="H48" s="6"/>
      <c r="I48" s="6"/>
      <c r="J48" s="6"/>
    </row>
    <row r="49" spans="1:10" ht="20.25" customHeight="1" x14ac:dyDescent="0.15">
      <c r="A49" s="6"/>
      <c r="B49" s="10"/>
      <c r="C49" s="28"/>
      <c r="E49" s="6"/>
      <c r="F49" s="6"/>
      <c r="G49" s="6"/>
      <c r="H49" s="6"/>
      <c r="I49" s="6"/>
      <c r="J49" s="6"/>
    </row>
    <row r="50" spans="1:10" ht="20.25" customHeight="1" x14ac:dyDescent="0.15">
      <c r="A50" s="6"/>
      <c r="B50" s="10"/>
      <c r="C50" s="28"/>
      <c r="E50" s="6"/>
      <c r="F50" s="6"/>
      <c r="G50" s="6"/>
      <c r="H50" s="6"/>
      <c r="I50" s="6"/>
      <c r="J50" s="6"/>
    </row>
    <row r="51" spans="1:10" ht="20.25" customHeight="1" x14ac:dyDescent="0.15">
      <c r="A51" s="6"/>
      <c r="B51" s="10"/>
      <c r="C51" s="28"/>
      <c r="E51" s="6"/>
      <c r="F51" s="6"/>
      <c r="G51" s="6"/>
      <c r="H51" s="6"/>
      <c r="I51" s="6"/>
      <c r="J51" s="6"/>
    </row>
    <row r="52" spans="1:10" ht="20.25" customHeight="1" x14ac:dyDescent="0.15">
      <c r="A52" s="6"/>
      <c r="B52" s="10"/>
      <c r="C52" s="28"/>
      <c r="E52" s="6"/>
      <c r="F52" s="6"/>
      <c r="G52" s="6"/>
      <c r="H52" s="6"/>
      <c r="I52" s="6"/>
      <c r="J52" s="6"/>
    </row>
    <row r="53" spans="1:10" ht="20.25" customHeight="1" x14ac:dyDescent="0.15">
      <c r="A53" s="6"/>
      <c r="B53" s="10"/>
      <c r="C53" s="28"/>
      <c r="E53" s="6"/>
      <c r="F53" s="6"/>
      <c r="G53" s="6"/>
      <c r="H53" s="6"/>
      <c r="I53" s="6"/>
      <c r="J53" s="6"/>
    </row>
    <row r="54" spans="1:10" ht="20.25" customHeight="1" x14ac:dyDescent="0.15">
      <c r="A54" s="6"/>
      <c r="B54" s="10"/>
      <c r="C54" s="28"/>
      <c r="E54" s="6"/>
      <c r="F54" s="6"/>
      <c r="G54" s="6"/>
      <c r="H54" s="6"/>
      <c r="I54" s="6"/>
      <c r="J54" s="6"/>
    </row>
    <row r="55" spans="1:10" ht="20.25" customHeight="1" x14ac:dyDescent="0.15">
      <c r="A55" s="6"/>
      <c r="B55" s="10"/>
      <c r="C55" s="28"/>
      <c r="E55" s="6"/>
      <c r="F55" s="6"/>
      <c r="G55" s="6"/>
      <c r="H55" s="6"/>
      <c r="I55" s="6"/>
      <c r="J55" s="6"/>
    </row>
    <row r="56" spans="1:10" ht="20.25" customHeight="1" x14ac:dyDescent="0.15">
      <c r="A56" s="6"/>
      <c r="B56" s="10"/>
      <c r="C56" s="28"/>
      <c r="E56" s="6"/>
      <c r="F56" s="6"/>
      <c r="G56" s="6"/>
      <c r="H56" s="6"/>
      <c r="I56" s="6"/>
      <c r="J56" s="6"/>
    </row>
    <row r="57" spans="1:10" ht="20.25" customHeight="1" x14ac:dyDescent="0.15">
      <c r="A57" s="6"/>
      <c r="B57" s="10"/>
      <c r="C57" s="28"/>
      <c r="E57" s="6"/>
      <c r="F57" s="6"/>
      <c r="G57" s="6"/>
      <c r="H57" s="6"/>
      <c r="I57" s="6"/>
      <c r="J57" s="6"/>
    </row>
    <row r="58" spans="1:10" ht="20.25" customHeight="1" x14ac:dyDescent="0.15">
      <c r="A58" s="6"/>
      <c r="B58" s="10"/>
      <c r="C58" s="28"/>
      <c r="E58" s="6"/>
      <c r="F58" s="6"/>
      <c r="G58" s="6"/>
      <c r="H58" s="6"/>
      <c r="I58" s="6"/>
      <c r="J58" s="6"/>
    </row>
    <row r="59" spans="1:10" ht="20.25" customHeight="1" x14ac:dyDescent="0.15">
      <c r="A59" s="6"/>
      <c r="B59" s="10"/>
      <c r="C59" s="28"/>
      <c r="E59" s="6"/>
      <c r="F59" s="6"/>
      <c r="G59" s="6"/>
      <c r="H59" s="6"/>
      <c r="I59" s="6"/>
      <c r="J59" s="6"/>
    </row>
    <row r="60" spans="1:10" ht="20.25" customHeight="1" x14ac:dyDescent="0.15">
      <c r="A60" s="6"/>
      <c r="B60" s="10"/>
      <c r="C60" s="28"/>
      <c r="E60" s="6"/>
      <c r="F60" s="6"/>
      <c r="G60" s="6"/>
      <c r="H60" s="6"/>
      <c r="I60" s="6"/>
      <c r="J60" s="6"/>
    </row>
    <row r="61" spans="1:10" ht="20.25" customHeight="1" x14ac:dyDescent="0.15">
      <c r="A61" s="6"/>
      <c r="B61" s="10"/>
      <c r="C61" s="28"/>
      <c r="E61" s="6"/>
      <c r="F61" s="6"/>
      <c r="G61" s="6"/>
      <c r="H61" s="6"/>
      <c r="I61" s="6"/>
      <c r="J61" s="6"/>
    </row>
    <row r="62" spans="1:10" ht="20.25" customHeight="1" x14ac:dyDescent="0.15">
      <c r="A62" s="6"/>
      <c r="B62" s="10"/>
      <c r="C62" s="28"/>
      <c r="E62" s="6"/>
      <c r="F62" s="6"/>
      <c r="G62" s="6"/>
      <c r="H62" s="6"/>
      <c r="I62" s="6"/>
      <c r="J62" s="6"/>
    </row>
    <row r="63" spans="1:10" ht="20.25" customHeight="1" x14ac:dyDescent="0.15">
      <c r="A63" s="6"/>
      <c r="B63" s="10"/>
      <c r="C63" s="28"/>
      <c r="E63" s="6"/>
      <c r="F63" s="6"/>
      <c r="G63" s="6"/>
      <c r="H63" s="6"/>
      <c r="I63" s="6"/>
      <c r="J63" s="6"/>
    </row>
    <row r="64" spans="1:10" ht="20.25" customHeight="1" x14ac:dyDescent="0.15">
      <c r="A64" s="6"/>
      <c r="B64" s="10"/>
      <c r="C64" s="28"/>
      <c r="E64" s="6"/>
      <c r="F64" s="6"/>
      <c r="G64" s="6"/>
      <c r="H64" s="6"/>
      <c r="I64" s="6"/>
      <c r="J64" s="6"/>
    </row>
    <row r="65" spans="1:10" ht="20.25" customHeight="1" x14ac:dyDescent="0.15">
      <c r="A65" s="6"/>
      <c r="B65" s="10"/>
      <c r="C65" s="28"/>
      <c r="E65" s="6"/>
      <c r="F65" s="6"/>
      <c r="G65" s="6"/>
      <c r="H65" s="6"/>
      <c r="I65" s="6"/>
      <c r="J65" s="6"/>
    </row>
    <row r="66" spans="1:10" ht="20.25" customHeight="1" x14ac:dyDescent="0.15">
      <c r="A66" s="6"/>
      <c r="B66" s="10"/>
      <c r="C66" s="28"/>
      <c r="E66" s="6"/>
      <c r="F66" s="6"/>
      <c r="G66" s="6"/>
      <c r="H66" s="6"/>
      <c r="I66" s="6"/>
      <c r="J66" s="6"/>
    </row>
    <row r="67" spans="1:10" ht="20.25" customHeight="1" x14ac:dyDescent="0.15">
      <c r="A67" s="6"/>
      <c r="B67" s="10"/>
      <c r="C67" s="28"/>
      <c r="E67" s="6"/>
      <c r="F67" s="6"/>
      <c r="G67" s="6"/>
      <c r="H67" s="6"/>
      <c r="I67" s="6"/>
      <c r="J67" s="6"/>
    </row>
    <row r="68" spans="1:10" ht="20.25" customHeight="1" x14ac:dyDescent="0.15">
      <c r="A68" s="6"/>
      <c r="B68" s="10"/>
      <c r="C68" s="28"/>
      <c r="E68" s="6"/>
      <c r="F68" s="6"/>
      <c r="G68" s="6"/>
      <c r="H68" s="6"/>
      <c r="I68" s="6"/>
      <c r="J68" s="6"/>
    </row>
    <row r="69" spans="1:10" ht="20.25" customHeight="1" x14ac:dyDescent="0.15">
      <c r="A69" s="6"/>
      <c r="B69" s="10"/>
      <c r="C69" s="28"/>
      <c r="E69" s="6"/>
      <c r="F69" s="6"/>
      <c r="G69" s="6"/>
      <c r="H69" s="6"/>
      <c r="I69" s="6"/>
      <c r="J69" s="6"/>
    </row>
    <row r="70" spans="1:10" ht="20.25" customHeight="1" x14ac:dyDescent="0.15">
      <c r="A70" s="6"/>
      <c r="B70" s="10"/>
      <c r="C70" s="28"/>
      <c r="E70" s="6"/>
      <c r="F70" s="6"/>
      <c r="G70" s="6"/>
      <c r="H70" s="6"/>
      <c r="I70" s="6"/>
      <c r="J70" s="6"/>
    </row>
    <row r="71" spans="1:10" ht="20.25" customHeight="1" x14ac:dyDescent="0.15">
      <c r="A71" s="6"/>
      <c r="B71" s="10"/>
      <c r="C71" s="28"/>
      <c r="E71" s="6"/>
      <c r="F71" s="6"/>
      <c r="G71" s="6"/>
      <c r="H71" s="6"/>
      <c r="I71" s="6"/>
      <c r="J71" s="6"/>
    </row>
    <row r="72" spans="1:10" ht="20.25" customHeight="1" x14ac:dyDescent="0.15">
      <c r="A72" s="6"/>
      <c r="B72" s="10"/>
      <c r="C72" s="28"/>
      <c r="E72" s="6"/>
      <c r="F72" s="6"/>
      <c r="G72" s="6"/>
      <c r="H72" s="6"/>
      <c r="I72" s="6"/>
      <c r="J72" s="6"/>
    </row>
    <row r="73" spans="1:10" ht="20.25" customHeight="1" x14ac:dyDescent="0.15">
      <c r="A73" s="6"/>
      <c r="B73" s="10"/>
      <c r="C73" s="28"/>
      <c r="E73" s="6"/>
      <c r="F73" s="6"/>
      <c r="G73" s="6"/>
      <c r="H73" s="6"/>
      <c r="I73" s="6"/>
      <c r="J73" s="6"/>
    </row>
    <row r="74" spans="1:10" ht="20.25" customHeight="1" x14ac:dyDescent="0.15">
      <c r="A74" s="6"/>
      <c r="B74" s="10"/>
      <c r="C74" s="28"/>
      <c r="E74" s="6"/>
      <c r="F74" s="6"/>
      <c r="G74" s="6"/>
      <c r="H74" s="6"/>
      <c r="I74" s="6"/>
      <c r="J74" s="6"/>
    </row>
    <row r="75" spans="1:10" ht="20.25" customHeight="1" x14ac:dyDescent="0.15">
      <c r="A75" s="6"/>
      <c r="B75" s="10"/>
      <c r="C75" s="28"/>
      <c r="E75" s="6"/>
      <c r="F75" s="6"/>
      <c r="G75" s="6"/>
      <c r="H75" s="6"/>
      <c r="I75" s="6"/>
      <c r="J75" s="6"/>
    </row>
    <row r="76" spans="1:10" ht="20.25" customHeight="1" x14ac:dyDescent="0.15">
      <c r="A76" s="6"/>
      <c r="B76" s="10"/>
      <c r="C76" s="28"/>
      <c r="E76" s="6"/>
      <c r="F76" s="6"/>
      <c r="G76" s="6"/>
      <c r="H76" s="6"/>
      <c r="I76" s="6"/>
      <c r="J76" s="6"/>
    </row>
    <row r="77" spans="1:10" ht="20.25" customHeight="1" x14ac:dyDescent="0.15">
      <c r="A77" s="6"/>
      <c r="B77" s="10"/>
      <c r="C77" s="28"/>
      <c r="E77" s="6"/>
      <c r="F77" s="6"/>
      <c r="G77" s="6"/>
      <c r="H77" s="6"/>
      <c r="I77" s="6"/>
      <c r="J77" s="6"/>
    </row>
    <row r="78" spans="1:10" ht="20.25" customHeight="1" x14ac:dyDescent="0.15">
      <c r="A78" s="6"/>
      <c r="B78" s="10"/>
      <c r="C78" s="28"/>
      <c r="E78" s="6"/>
      <c r="F78" s="6"/>
      <c r="G78" s="6"/>
      <c r="H78" s="6"/>
      <c r="I78" s="6"/>
      <c r="J78" s="6"/>
    </row>
    <row r="79" spans="1:10" ht="20.25" customHeight="1" x14ac:dyDescent="0.15">
      <c r="A79" s="6"/>
      <c r="B79" s="10"/>
      <c r="C79" s="28"/>
      <c r="E79" s="6"/>
      <c r="F79" s="6"/>
      <c r="G79" s="6"/>
      <c r="H79" s="6"/>
      <c r="I79" s="6"/>
      <c r="J79" s="6"/>
    </row>
    <row r="80" spans="1:10" ht="20.25" customHeight="1" x14ac:dyDescent="0.15">
      <c r="A80" s="6"/>
      <c r="B80" s="10"/>
      <c r="C80" s="28"/>
      <c r="E80" s="6"/>
      <c r="F80" s="6"/>
      <c r="G80" s="6"/>
      <c r="H80" s="6"/>
      <c r="I80" s="6"/>
      <c r="J80" s="6"/>
    </row>
    <row r="81" spans="1:10" ht="20.25" customHeight="1" x14ac:dyDescent="0.15">
      <c r="A81" s="6"/>
      <c r="B81" s="10"/>
      <c r="C81" s="28"/>
      <c r="E81" s="6"/>
      <c r="F81" s="6"/>
      <c r="G81" s="6"/>
      <c r="H81" s="6"/>
      <c r="I81" s="6"/>
      <c r="J81" s="6"/>
    </row>
    <row r="82" spans="1:10" ht="20.25" customHeight="1" x14ac:dyDescent="0.15">
      <c r="A82" s="6"/>
      <c r="B82" s="10"/>
      <c r="C82" s="28"/>
      <c r="E82" s="6"/>
      <c r="F82" s="6"/>
      <c r="G82" s="6"/>
      <c r="H82" s="6"/>
      <c r="I82" s="6"/>
      <c r="J82" s="6"/>
    </row>
    <row r="83" spans="1:10" ht="20.25" customHeight="1" x14ac:dyDescent="0.15">
      <c r="A83" s="6"/>
      <c r="B83" s="10"/>
      <c r="C83" s="28"/>
      <c r="E83" s="6"/>
      <c r="F83" s="6"/>
      <c r="G83" s="6"/>
      <c r="H83" s="6"/>
      <c r="I83" s="6"/>
      <c r="J83" s="6"/>
    </row>
    <row r="84" spans="1:10" ht="20.25" customHeight="1" x14ac:dyDescent="0.15">
      <c r="A84" s="6"/>
      <c r="B84" s="10"/>
      <c r="C84" s="28"/>
      <c r="E84" s="6"/>
      <c r="F84" s="6"/>
      <c r="G84" s="6"/>
      <c r="H84" s="6"/>
      <c r="I84" s="6"/>
      <c r="J84" s="6"/>
    </row>
    <row r="85" spans="1:10" ht="20.25" customHeight="1" x14ac:dyDescent="0.15">
      <c r="A85" s="6"/>
      <c r="B85" s="10"/>
      <c r="C85" s="28"/>
      <c r="E85" s="6"/>
      <c r="F85" s="6"/>
      <c r="G85" s="6"/>
      <c r="H85" s="6"/>
      <c r="I85" s="6"/>
      <c r="J85" s="6"/>
    </row>
    <row r="86" spans="1:10" ht="20.25" customHeight="1" x14ac:dyDescent="0.15">
      <c r="A86" s="6"/>
      <c r="B86" s="10"/>
      <c r="C86" s="28"/>
      <c r="E86" s="6"/>
      <c r="F86" s="6"/>
      <c r="G86" s="6"/>
      <c r="H86" s="6"/>
      <c r="I86" s="6"/>
      <c r="J86" s="6"/>
    </row>
    <row r="87" spans="1:10" ht="20.25" customHeight="1" x14ac:dyDescent="0.15">
      <c r="A87" s="6"/>
      <c r="B87" s="10"/>
      <c r="C87" s="28"/>
      <c r="E87" s="6"/>
      <c r="F87" s="6"/>
      <c r="G87" s="6"/>
      <c r="H87" s="6"/>
      <c r="I87" s="6"/>
      <c r="J87" s="6"/>
    </row>
    <row r="88" spans="1:10" ht="20.25" customHeight="1" x14ac:dyDescent="0.15">
      <c r="A88" s="6"/>
      <c r="B88" s="10"/>
      <c r="C88" s="28"/>
      <c r="E88" s="6"/>
      <c r="F88" s="6"/>
      <c r="G88" s="6"/>
      <c r="H88" s="6"/>
      <c r="I88" s="6"/>
      <c r="J88" s="6"/>
    </row>
    <row r="89" spans="1:10" ht="20.25" customHeight="1" x14ac:dyDescent="0.15">
      <c r="A89" s="6"/>
      <c r="B89" s="10"/>
      <c r="C89" s="28"/>
      <c r="E89" s="6"/>
      <c r="F89" s="6"/>
      <c r="G89" s="6"/>
      <c r="H89" s="6"/>
      <c r="I89" s="6"/>
      <c r="J89" s="6"/>
    </row>
    <row r="90" spans="1:10" ht="20.25" customHeight="1" x14ac:dyDescent="0.15">
      <c r="A90" s="6"/>
      <c r="B90" s="10"/>
      <c r="C90" s="28"/>
      <c r="E90" s="6"/>
      <c r="F90" s="6"/>
      <c r="G90" s="6"/>
      <c r="H90" s="6"/>
      <c r="I90" s="6"/>
      <c r="J90" s="6"/>
    </row>
    <row r="91" spans="1:10" ht="20.25" customHeight="1" x14ac:dyDescent="0.15">
      <c r="A91" s="6"/>
      <c r="B91" s="10"/>
      <c r="C91" s="28"/>
      <c r="E91" s="6"/>
      <c r="F91" s="6"/>
      <c r="G91" s="6"/>
      <c r="H91" s="6"/>
      <c r="I91" s="6"/>
      <c r="J91" s="6"/>
    </row>
    <row r="92" spans="1:10" ht="20.25" customHeight="1" x14ac:dyDescent="0.15">
      <c r="A92" s="6"/>
      <c r="B92" s="10"/>
      <c r="C92" s="28"/>
      <c r="E92" s="6"/>
      <c r="F92" s="6"/>
      <c r="G92" s="6"/>
      <c r="H92" s="6"/>
      <c r="I92" s="6"/>
      <c r="J92" s="6"/>
    </row>
    <row r="93" spans="1:10" ht="20.25" customHeight="1" x14ac:dyDescent="0.15">
      <c r="A93" s="6"/>
      <c r="B93" s="10"/>
      <c r="C93" s="28"/>
      <c r="E93" s="6"/>
      <c r="F93" s="6"/>
      <c r="G93" s="6"/>
      <c r="H93" s="6"/>
      <c r="I93" s="6"/>
      <c r="J93" s="6"/>
    </row>
    <row r="94" spans="1:10" ht="20.25" customHeight="1" x14ac:dyDescent="0.15">
      <c r="A94" s="6"/>
      <c r="B94" s="10"/>
      <c r="C94" s="28"/>
      <c r="E94" s="6"/>
      <c r="F94" s="6"/>
      <c r="G94" s="6"/>
      <c r="H94" s="6"/>
      <c r="I94" s="6"/>
      <c r="J94" s="6"/>
    </row>
    <row r="95" spans="1:10" ht="20.25" customHeight="1" x14ac:dyDescent="0.15">
      <c r="A95" s="6"/>
      <c r="B95" s="10"/>
      <c r="C95" s="28"/>
      <c r="E95" s="6"/>
      <c r="F95" s="6"/>
      <c r="G95" s="6"/>
      <c r="H95" s="6"/>
      <c r="I95" s="6"/>
      <c r="J95" s="6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J95"/>
  <sheetViews>
    <sheetView workbookViewId="0">
      <selection activeCell="E6" sqref="E6"/>
    </sheetView>
  </sheetViews>
  <sheetFormatPr baseColWidth="10" defaultColWidth="14.5" defaultRowHeight="15.75" customHeight="1" x14ac:dyDescent="0.15"/>
  <cols>
    <col min="1" max="1" width="3.6640625" customWidth="1"/>
    <col min="2" max="2" width="40.5" customWidth="1"/>
    <col min="3" max="3" width="3.6640625" bestFit="1" customWidth="1"/>
    <col min="4" max="4" width="4.1640625" bestFit="1" customWidth="1"/>
    <col min="5" max="9" width="24.83203125" customWidth="1"/>
  </cols>
  <sheetData>
    <row r="1" spans="1:10" s="37" customFormat="1" ht="23" customHeight="1" x14ac:dyDescent="0.15">
      <c r="A1" s="35" t="s">
        <v>0</v>
      </c>
      <c r="B1" s="36" t="s">
        <v>1</v>
      </c>
      <c r="C1" s="34" t="s">
        <v>89</v>
      </c>
      <c r="D1" s="34" t="s">
        <v>2</v>
      </c>
      <c r="E1" s="36" t="s">
        <v>3</v>
      </c>
      <c r="F1" s="36" t="s">
        <v>4</v>
      </c>
      <c r="G1" s="36" t="s">
        <v>5</v>
      </c>
      <c r="H1" s="36" t="s">
        <v>6</v>
      </c>
      <c r="I1" s="36" t="s">
        <v>7</v>
      </c>
      <c r="J1" s="36" t="s">
        <v>8</v>
      </c>
    </row>
    <row r="2" spans="1:10" ht="20.25" customHeight="1" x14ac:dyDescent="0.15">
      <c r="A2" s="6">
        <v>1</v>
      </c>
      <c r="B2" s="7" t="s">
        <v>74</v>
      </c>
      <c r="C2" s="24"/>
      <c r="E2" s="6" t="str">
        <f t="shared" ref="E2:E11" si="0">"hc_"&amp;A2&amp;"_km.mp3"</f>
        <v>hc_1_km.mp3</v>
      </c>
      <c r="F2" s="6" t="str">
        <f t="shared" ref="F2:F11" si="1">"hc_"&amp;A2&amp;"_bn.mp3"</f>
        <v>hc_1_bn.mp3</v>
      </c>
      <c r="G2" s="6" t="str">
        <f t="shared" ref="G2:G11" si="2">"hc_"&amp;A2&amp;"_tp.mp3"</f>
        <v>hc_1_tp.mp3</v>
      </c>
      <c r="H2" s="6" t="str">
        <f t="shared" ref="H2:H11" si="3">"hc_"&amp;A2&amp;"_kr.mp3"</f>
        <v>hc_1_kr.mp3</v>
      </c>
      <c r="I2" s="6" t="str">
        <f t="shared" ref="I2:I11" si="4">"hc_"&amp;A2&amp;"_kv.mp3"</f>
        <v>hc_1_kv.mp3</v>
      </c>
      <c r="J2" s="6" t="str">
        <f t="shared" ref="J2:J11" si="5">"hc_"&amp;A2&amp;"_jr.mp3"</f>
        <v>hc_1_jr.mp3</v>
      </c>
    </row>
    <row r="3" spans="1:10" ht="20.25" customHeight="1" x14ac:dyDescent="0.15">
      <c r="A3" s="6">
        <v>2</v>
      </c>
      <c r="B3" s="7" t="s">
        <v>75</v>
      </c>
      <c r="C3" s="24"/>
      <c r="E3" s="6" t="str">
        <f t="shared" si="0"/>
        <v>hc_2_km.mp3</v>
      </c>
      <c r="F3" s="6" t="str">
        <f t="shared" si="1"/>
        <v>hc_2_bn.mp3</v>
      </c>
      <c r="G3" s="6" t="str">
        <f t="shared" si="2"/>
        <v>hc_2_tp.mp3</v>
      </c>
      <c r="H3" s="6" t="str">
        <f t="shared" si="3"/>
        <v>hc_2_kr.mp3</v>
      </c>
      <c r="I3" s="6" t="str">
        <f t="shared" si="4"/>
        <v>hc_2_kv.mp3</v>
      </c>
      <c r="J3" s="6" t="str">
        <f t="shared" si="5"/>
        <v>hc_2_jr.mp3</v>
      </c>
    </row>
    <row r="4" spans="1:10" ht="20.25" customHeight="1" x14ac:dyDescent="0.15">
      <c r="A4" s="6">
        <v>3</v>
      </c>
      <c r="B4" s="7" t="s">
        <v>76</v>
      </c>
      <c r="C4" s="24"/>
      <c r="E4" s="6" t="str">
        <f t="shared" si="0"/>
        <v>hc_3_km.mp3</v>
      </c>
      <c r="F4" s="6" t="str">
        <f t="shared" si="1"/>
        <v>hc_3_bn.mp3</v>
      </c>
      <c r="G4" s="6" t="str">
        <f t="shared" si="2"/>
        <v>hc_3_tp.mp3</v>
      </c>
      <c r="H4" s="6" t="str">
        <f t="shared" si="3"/>
        <v>hc_3_kr.mp3</v>
      </c>
      <c r="I4" s="6" t="str">
        <f t="shared" si="4"/>
        <v>hc_3_kv.mp3</v>
      </c>
      <c r="J4" s="6" t="str">
        <f t="shared" si="5"/>
        <v>hc_3_jr.mp3</v>
      </c>
    </row>
    <row r="5" spans="1:10" ht="20.25" customHeight="1" x14ac:dyDescent="0.15">
      <c r="A5" s="6">
        <v>4</v>
      </c>
      <c r="B5" s="7" t="s">
        <v>77</v>
      </c>
      <c r="C5" s="24"/>
      <c r="E5" s="6" t="str">
        <f t="shared" si="0"/>
        <v>hc_4_km.mp3</v>
      </c>
      <c r="F5" s="6" t="str">
        <f t="shared" si="1"/>
        <v>hc_4_bn.mp3</v>
      </c>
      <c r="G5" s="6" t="str">
        <f t="shared" si="2"/>
        <v>hc_4_tp.mp3</v>
      </c>
      <c r="H5" s="6" t="str">
        <f t="shared" si="3"/>
        <v>hc_4_kr.mp3</v>
      </c>
      <c r="I5" s="6" t="str">
        <f t="shared" si="4"/>
        <v>hc_4_kv.mp3</v>
      </c>
      <c r="J5" s="6" t="str">
        <f t="shared" si="5"/>
        <v>hc_4_jr.mp3</v>
      </c>
    </row>
    <row r="6" spans="1:10" ht="20.25" customHeight="1" x14ac:dyDescent="0.15">
      <c r="A6" s="6">
        <v>5</v>
      </c>
      <c r="B6" s="7" t="s">
        <v>78</v>
      </c>
      <c r="C6" s="24"/>
      <c r="E6" s="6" t="str">
        <f t="shared" si="0"/>
        <v>hc_5_km.mp3</v>
      </c>
      <c r="F6" s="6" t="str">
        <f t="shared" si="1"/>
        <v>hc_5_bn.mp3</v>
      </c>
      <c r="G6" s="6" t="str">
        <f t="shared" si="2"/>
        <v>hc_5_tp.mp3</v>
      </c>
      <c r="H6" s="6" t="str">
        <f t="shared" si="3"/>
        <v>hc_5_kr.mp3</v>
      </c>
      <c r="I6" s="6" t="str">
        <f t="shared" si="4"/>
        <v>hc_5_kv.mp3</v>
      </c>
      <c r="J6" s="6" t="str">
        <f t="shared" si="5"/>
        <v>hc_5_jr.mp3</v>
      </c>
    </row>
    <row r="7" spans="1:10" ht="20.25" customHeight="1" x14ac:dyDescent="0.15">
      <c r="A7" s="6">
        <v>6</v>
      </c>
      <c r="B7" s="7" t="s">
        <v>79</v>
      </c>
      <c r="C7" s="24"/>
      <c r="E7" s="6" t="str">
        <f t="shared" si="0"/>
        <v>hc_6_km.mp3</v>
      </c>
      <c r="F7" s="6" t="str">
        <f t="shared" si="1"/>
        <v>hc_6_bn.mp3</v>
      </c>
      <c r="G7" s="6" t="str">
        <f t="shared" si="2"/>
        <v>hc_6_tp.mp3</v>
      </c>
      <c r="H7" s="6" t="str">
        <f t="shared" si="3"/>
        <v>hc_6_kr.mp3</v>
      </c>
      <c r="I7" s="6" t="str">
        <f t="shared" si="4"/>
        <v>hc_6_kv.mp3</v>
      </c>
      <c r="J7" s="6" t="str">
        <f t="shared" si="5"/>
        <v>hc_6_jr.mp3</v>
      </c>
    </row>
    <row r="8" spans="1:10" ht="20.25" customHeight="1" x14ac:dyDescent="0.15">
      <c r="A8" s="6">
        <v>7</v>
      </c>
      <c r="B8" s="7" t="s">
        <v>80</v>
      </c>
      <c r="C8" s="24"/>
      <c r="E8" s="6" t="str">
        <f t="shared" si="0"/>
        <v>hc_7_km.mp3</v>
      </c>
      <c r="F8" s="6" t="str">
        <f t="shared" si="1"/>
        <v>hc_7_bn.mp3</v>
      </c>
      <c r="G8" s="6" t="str">
        <f t="shared" si="2"/>
        <v>hc_7_tp.mp3</v>
      </c>
      <c r="H8" s="6" t="str">
        <f t="shared" si="3"/>
        <v>hc_7_kr.mp3</v>
      </c>
      <c r="I8" s="6" t="str">
        <f t="shared" si="4"/>
        <v>hc_7_kv.mp3</v>
      </c>
      <c r="J8" s="6" t="str">
        <f t="shared" si="5"/>
        <v>hc_7_jr.mp3</v>
      </c>
    </row>
    <row r="9" spans="1:10" ht="20.25" customHeight="1" x14ac:dyDescent="0.15">
      <c r="A9" s="6">
        <v>8</v>
      </c>
      <c r="B9" s="7" t="s">
        <v>81</v>
      </c>
      <c r="C9" s="24"/>
      <c r="E9" s="6" t="str">
        <f t="shared" si="0"/>
        <v>hc_8_km.mp3</v>
      </c>
      <c r="F9" s="6" t="str">
        <f t="shared" si="1"/>
        <v>hc_8_bn.mp3</v>
      </c>
      <c r="G9" s="6" t="str">
        <f t="shared" si="2"/>
        <v>hc_8_tp.mp3</v>
      </c>
      <c r="H9" s="6" t="str">
        <f t="shared" si="3"/>
        <v>hc_8_kr.mp3</v>
      </c>
      <c r="I9" s="6" t="str">
        <f t="shared" si="4"/>
        <v>hc_8_kv.mp3</v>
      </c>
      <c r="J9" s="6" t="str">
        <f t="shared" si="5"/>
        <v>hc_8_jr.mp3</v>
      </c>
    </row>
    <row r="10" spans="1:10" ht="20.25" customHeight="1" x14ac:dyDescent="0.15">
      <c r="A10" s="6">
        <v>9</v>
      </c>
      <c r="B10" s="7" t="s">
        <v>82</v>
      </c>
      <c r="C10" s="24"/>
      <c r="E10" s="6" t="str">
        <f t="shared" si="0"/>
        <v>hc_9_km.mp3</v>
      </c>
      <c r="F10" s="6" t="str">
        <f t="shared" si="1"/>
        <v>hc_9_bn.mp3</v>
      </c>
      <c r="G10" s="6" t="str">
        <f t="shared" si="2"/>
        <v>hc_9_tp.mp3</v>
      </c>
      <c r="H10" s="6" t="str">
        <f t="shared" si="3"/>
        <v>hc_9_kr.mp3</v>
      </c>
      <c r="I10" s="6" t="str">
        <f t="shared" si="4"/>
        <v>hc_9_kv.mp3</v>
      </c>
      <c r="J10" s="6" t="str">
        <f t="shared" si="5"/>
        <v>hc_9_jr.mp3</v>
      </c>
    </row>
    <row r="11" spans="1:10" ht="20.25" customHeight="1" x14ac:dyDescent="0.15">
      <c r="A11" s="6">
        <v>10</v>
      </c>
      <c r="B11" s="7" t="s">
        <v>83</v>
      </c>
      <c r="C11" s="24"/>
      <c r="E11" s="6" t="str">
        <f t="shared" si="0"/>
        <v>hc_10_km.mp3</v>
      </c>
      <c r="F11" s="6" t="str">
        <f t="shared" si="1"/>
        <v>hc_10_bn.mp3</v>
      </c>
      <c r="G11" s="6" t="str">
        <f t="shared" si="2"/>
        <v>hc_10_tp.mp3</v>
      </c>
      <c r="H11" s="6" t="str">
        <f t="shared" si="3"/>
        <v>hc_10_kr.mp3</v>
      </c>
      <c r="I11" s="6" t="str">
        <f t="shared" si="4"/>
        <v>hc_10_kv.mp3</v>
      </c>
      <c r="J11" s="6" t="str">
        <f t="shared" si="5"/>
        <v>hc_10_jr.mp3</v>
      </c>
    </row>
    <row r="12" spans="1:10" ht="20.25" customHeight="1" x14ac:dyDescent="0.15">
      <c r="A12" s="6"/>
      <c r="B12" s="7"/>
      <c r="C12" s="24"/>
      <c r="E12" s="6"/>
      <c r="F12" s="6"/>
      <c r="G12" s="6"/>
      <c r="H12" s="6"/>
      <c r="I12" s="6"/>
      <c r="J12" s="6"/>
    </row>
    <row r="13" spans="1:10" ht="20.25" customHeight="1" x14ac:dyDescent="0.15">
      <c r="A13" s="6"/>
      <c r="B13" s="7"/>
      <c r="C13" s="24"/>
      <c r="E13" s="6"/>
      <c r="F13" s="6"/>
      <c r="G13" s="6"/>
      <c r="H13" s="6"/>
      <c r="I13" s="6"/>
      <c r="J13" s="6"/>
    </row>
    <row r="14" spans="1:10" ht="20.25" customHeight="1" x14ac:dyDescent="0.15">
      <c r="A14" s="6"/>
      <c r="B14" s="7"/>
      <c r="C14" s="24"/>
      <c r="E14" s="6"/>
      <c r="F14" s="6"/>
      <c r="G14" s="6"/>
      <c r="H14" s="6"/>
      <c r="I14" s="6"/>
      <c r="J14" s="6"/>
    </row>
    <row r="15" spans="1:10" ht="20.25" customHeight="1" x14ac:dyDescent="0.15">
      <c r="A15" s="6"/>
      <c r="B15" s="8"/>
      <c r="C15" s="25"/>
      <c r="E15" s="6"/>
      <c r="F15" s="6"/>
      <c r="G15" s="6"/>
      <c r="H15" s="6"/>
      <c r="I15" s="6"/>
      <c r="J15" s="6"/>
    </row>
    <row r="16" spans="1:10" ht="20.25" customHeight="1" x14ac:dyDescent="0.15">
      <c r="A16" s="6"/>
      <c r="B16" s="11"/>
      <c r="C16" s="26"/>
      <c r="E16" s="6"/>
      <c r="F16" s="6"/>
      <c r="G16" s="6"/>
      <c r="H16" s="6"/>
      <c r="I16" s="6"/>
      <c r="J16" s="6"/>
    </row>
    <row r="17" spans="1:10" ht="20.25" customHeight="1" x14ac:dyDescent="0.15">
      <c r="A17" s="6"/>
      <c r="B17" s="7"/>
      <c r="C17" s="24"/>
      <c r="E17" s="6"/>
      <c r="F17" s="6"/>
      <c r="G17" s="6"/>
      <c r="H17" s="6"/>
      <c r="I17" s="6"/>
      <c r="J17" s="6"/>
    </row>
    <row r="18" spans="1:10" ht="20.25" customHeight="1" x14ac:dyDescent="0.15">
      <c r="A18" s="6"/>
      <c r="B18" s="7"/>
      <c r="C18" s="24"/>
      <c r="E18" s="6"/>
      <c r="F18" s="6"/>
      <c r="G18" s="6"/>
      <c r="H18" s="6"/>
      <c r="I18" s="6"/>
      <c r="J18" s="6"/>
    </row>
    <row r="19" spans="1:10" ht="20.25" customHeight="1" x14ac:dyDescent="0.15">
      <c r="A19" s="6"/>
      <c r="B19" s="7"/>
      <c r="C19" s="24"/>
      <c r="E19" s="6"/>
      <c r="F19" s="6"/>
      <c r="G19" s="6"/>
      <c r="H19" s="6"/>
      <c r="I19" s="6"/>
      <c r="J19" s="6"/>
    </row>
    <row r="20" spans="1:10" ht="20.25" customHeight="1" x14ac:dyDescent="0.15">
      <c r="A20" s="6"/>
      <c r="B20" s="7"/>
      <c r="C20" s="24"/>
      <c r="E20" s="6"/>
      <c r="F20" s="6"/>
      <c r="G20" s="6"/>
      <c r="H20" s="6"/>
      <c r="I20" s="6"/>
      <c r="J20" s="6"/>
    </row>
    <row r="21" spans="1:10" ht="20.25" customHeight="1" x14ac:dyDescent="0.15">
      <c r="A21" s="6"/>
      <c r="B21" s="7"/>
      <c r="C21" s="24"/>
      <c r="E21" s="6"/>
      <c r="F21" s="6"/>
      <c r="G21" s="6"/>
      <c r="H21" s="6"/>
      <c r="I21" s="6"/>
      <c r="J21" s="6"/>
    </row>
    <row r="22" spans="1:10" ht="20.25" customHeight="1" x14ac:dyDescent="0.15">
      <c r="A22" s="6"/>
      <c r="B22" s="12"/>
      <c r="C22" s="12"/>
      <c r="E22" s="6"/>
      <c r="F22" s="6"/>
      <c r="G22" s="6"/>
      <c r="H22" s="6"/>
      <c r="I22" s="6"/>
      <c r="J22" s="6"/>
    </row>
    <row r="23" spans="1:10" ht="20.25" customHeight="1" x14ac:dyDescent="0.15">
      <c r="A23" s="6"/>
      <c r="B23" s="7"/>
      <c r="C23" s="24"/>
      <c r="E23" s="6"/>
      <c r="F23" s="6"/>
      <c r="G23" s="6"/>
      <c r="H23" s="6"/>
      <c r="I23" s="6"/>
      <c r="J23" s="6"/>
    </row>
    <row r="24" spans="1:10" ht="20.25" customHeight="1" x14ac:dyDescent="0.15">
      <c r="A24" s="6"/>
      <c r="B24" s="7"/>
      <c r="C24" s="24"/>
      <c r="E24" s="6"/>
      <c r="F24" s="6"/>
      <c r="G24" s="6"/>
      <c r="H24" s="6"/>
      <c r="I24" s="6"/>
      <c r="J24" s="6"/>
    </row>
    <row r="25" spans="1:10" ht="20.25" customHeight="1" x14ac:dyDescent="0.15">
      <c r="A25" s="6"/>
      <c r="B25" s="7"/>
      <c r="C25" s="24"/>
      <c r="E25" s="6"/>
      <c r="F25" s="6"/>
      <c r="G25" s="6"/>
      <c r="H25" s="6"/>
      <c r="I25" s="6"/>
      <c r="J25" s="6"/>
    </row>
    <row r="26" spans="1:10" ht="20.25" customHeight="1" x14ac:dyDescent="0.15">
      <c r="A26" s="6"/>
      <c r="B26" s="7"/>
      <c r="C26" s="24"/>
      <c r="E26" s="6"/>
      <c r="F26" s="6"/>
      <c r="G26" s="6"/>
      <c r="H26" s="6"/>
      <c r="I26" s="6"/>
      <c r="J26" s="6"/>
    </row>
    <row r="27" spans="1:10" ht="20.25" customHeight="1" x14ac:dyDescent="0.15">
      <c r="A27" s="6"/>
      <c r="B27" s="7"/>
      <c r="C27" s="24"/>
      <c r="E27" s="6"/>
      <c r="F27" s="6"/>
      <c r="G27" s="6"/>
      <c r="H27" s="6"/>
      <c r="I27" s="6"/>
      <c r="J27" s="6"/>
    </row>
    <row r="28" spans="1:10" ht="20.25" customHeight="1" x14ac:dyDescent="0.15">
      <c r="A28" s="6"/>
      <c r="B28" s="7"/>
      <c r="C28" s="24"/>
      <c r="E28" s="6"/>
      <c r="F28" s="6"/>
      <c r="G28" s="6"/>
      <c r="H28" s="6"/>
      <c r="I28" s="6"/>
      <c r="J28" s="6"/>
    </row>
    <row r="29" spans="1:10" ht="20.25" customHeight="1" x14ac:dyDescent="0.15">
      <c r="A29" s="6"/>
      <c r="B29" s="7"/>
      <c r="C29" s="24"/>
      <c r="E29" s="6"/>
      <c r="F29" s="6"/>
      <c r="G29" s="6"/>
      <c r="H29" s="6"/>
      <c r="I29" s="6"/>
      <c r="J29" s="6"/>
    </row>
    <row r="30" spans="1:10" ht="20.25" customHeight="1" x14ac:dyDescent="0.15">
      <c r="A30" s="6"/>
      <c r="B30" s="7"/>
      <c r="C30" s="24"/>
      <c r="E30" s="6"/>
      <c r="F30" s="6"/>
      <c r="G30" s="6"/>
      <c r="H30" s="6"/>
      <c r="I30" s="6"/>
      <c r="J30" s="6"/>
    </row>
    <row r="31" spans="1:10" ht="20.25" customHeight="1" x14ac:dyDescent="0.15">
      <c r="A31" s="6"/>
      <c r="B31" s="7"/>
      <c r="C31" s="24"/>
      <c r="E31" s="6"/>
      <c r="F31" s="6"/>
      <c r="G31" s="6"/>
      <c r="H31" s="6"/>
      <c r="I31" s="6"/>
      <c r="J31" s="6"/>
    </row>
    <row r="32" spans="1:10" ht="20.25" customHeight="1" x14ac:dyDescent="0.15">
      <c r="A32" s="6"/>
      <c r="B32" s="13"/>
      <c r="C32" s="27"/>
      <c r="E32" s="6"/>
      <c r="F32" s="6"/>
      <c r="G32" s="6"/>
      <c r="H32" s="6"/>
      <c r="I32" s="6"/>
      <c r="J32" s="6"/>
    </row>
    <row r="33" spans="1:10" ht="20.25" customHeight="1" x14ac:dyDescent="0.15">
      <c r="A33" s="6"/>
      <c r="B33" s="13"/>
      <c r="C33" s="27"/>
      <c r="E33" s="6"/>
      <c r="F33" s="6"/>
      <c r="G33" s="6"/>
      <c r="H33" s="6"/>
      <c r="I33" s="6"/>
      <c r="J33" s="6"/>
    </row>
    <row r="34" spans="1:10" ht="20.25" customHeight="1" x14ac:dyDescent="0.15">
      <c r="A34" s="6"/>
      <c r="B34" s="13"/>
      <c r="C34" s="27"/>
      <c r="E34" s="6"/>
      <c r="F34" s="6"/>
      <c r="G34" s="6"/>
      <c r="H34" s="6"/>
      <c r="I34" s="6"/>
      <c r="J34" s="6"/>
    </row>
    <row r="35" spans="1:10" ht="20.25" customHeight="1" x14ac:dyDescent="0.15">
      <c r="A35" s="6"/>
      <c r="B35" s="13"/>
      <c r="C35" s="27"/>
      <c r="E35" s="6"/>
      <c r="F35" s="6"/>
      <c r="G35" s="6"/>
      <c r="H35" s="6"/>
      <c r="I35" s="6"/>
      <c r="J35" s="6"/>
    </row>
    <row r="36" spans="1:10" ht="20.25" customHeight="1" x14ac:dyDescent="0.15">
      <c r="A36" s="6"/>
      <c r="B36" s="13"/>
      <c r="C36" s="27"/>
      <c r="E36" s="6"/>
      <c r="F36" s="6"/>
      <c r="G36" s="6"/>
      <c r="H36" s="6"/>
      <c r="I36" s="6"/>
      <c r="J36" s="6"/>
    </row>
    <row r="37" spans="1:10" ht="20.25" customHeight="1" x14ac:dyDescent="0.15">
      <c r="A37" s="6"/>
      <c r="B37" s="13"/>
      <c r="C37" s="27"/>
      <c r="E37" s="6"/>
      <c r="F37" s="6"/>
      <c r="G37" s="6"/>
      <c r="H37" s="6"/>
      <c r="I37" s="6"/>
      <c r="J37" s="6"/>
    </row>
    <row r="38" spans="1:10" ht="20.25" customHeight="1" x14ac:dyDescent="0.15">
      <c r="A38" s="6"/>
      <c r="B38" s="13"/>
      <c r="C38" s="27"/>
      <c r="E38" s="6"/>
      <c r="F38" s="6"/>
      <c r="G38" s="6"/>
      <c r="H38" s="6"/>
      <c r="I38" s="6"/>
      <c r="J38" s="6"/>
    </row>
    <row r="39" spans="1:10" ht="20.25" customHeight="1" x14ac:dyDescent="0.15">
      <c r="A39" s="6"/>
      <c r="B39" s="13"/>
      <c r="C39" s="27"/>
      <c r="E39" s="6"/>
      <c r="F39" s="6"/>
      <c r="G39" s="6"/>
      <c r="H39" s="6"/>
      <c r="I39" s="6"/>
      <c r="J39" s="6"/>
    </row>
    <row r="40" spans="1:10" ht="20.25" customHeight="1" x14ac:dyDescent="0.15">
      <c r="A40" s="6"/>
      <c r="B40" s="10"/>
      <c r="C40" s="28"/>
      <c r="E40" s="6"/>
      <c r="F40" s="6"/>
      <c r="G40" s="6"/>
      <c r="H40" s="6"/>
      <c r="I40" s="6"/>
      <c r="J40" s="6"/>
    </row>
    <row r="41" spans="1:10" ht="20.25" customHeight="1" x14ac:dyDescent="0.15">
      <c r="A41" s="6"/>
      <c r="B41" s="10"/>
      <c r="C41" s="28"/>
      <c r="E41" s="6"/>
      <c r="F41" s="6"/>
      <c r="G41" s="6"/>
      <c r="H41" s="6"/>
      <c r="I41" s="6"/>
      <c r="J41" s="6"/>
    </row>
    <row r="42" spans="1:10" ht="20.25" customHeight="1" x14ac:dyDescent="0.15">
      <c r="A42" s="6"/>
      <c r="B42" s="10"/>
      <c r="C42" s="28"/>
      <c r="E42" s="6"/>
      <c r="F42" s="6"/>
      <c r="G42" s="6"/>
      <c r="H42" s="6"/>
      <c r="I42" s="6"/>
      <c r="J42" s="6"/>
    </row>
    <row r="43" spans="1:10" ht="20.25" customHeight="1" x14ac:dyDescent="0.15">
      <c r="A43" s="6"/>
      <c r="B43" s="10"/>
      <c r="C43" s="28"/>
      <c r="E43" s="6"/>
      <c r="F43" s="6"/>
      <c r="G43" s="6"/>
      <c r="H43" s="6"/>
      <c r="I43" s="6"/>
      <c r="J43" s="6"/>
    </row>
    <row r="44" spans="1:10" ht="20.25" customHeight="1" x14ac:dyDescent="0.15">
      <c r="A44" s="6"/>
      <c r="B44" s="10"/>
      <c r="C44" s="28"/>
      <c r="E44" s="6"/>
      <c r="F44" s="6"/>
      <c r="G44" s="6"/>
      <c r="H44" s="6"/>
      <c r="I44" s="6"/>
      <c r="J44" s="6"/>
    </row>
    <row r="45" spans="1:10" ht="20.25" customHeight="1" x14ac:dyDescent="0.15">
      <c r="A45" s="6"/>
      <c r="B45" s="10"/>
      <c r="C45" s="28"/>
      <c r="E45" s="6"/>
      <c r="F45" s="6"/>
      <c r="G45" s="6"/>
      <c r="H45" s="6"/>
      <c r="I45" s="6"/>
      <c r="J45" s="6"/>
    </row>
    <row r="46" spans="1:10" ht="20.25" customHeight="1" x14ac:dyDescent="0.15">
      <c r="A46" s="6"/>
      <c r="B46" s="10"/>
      <c r="C46" s="28"/>
      <c r="E46" s="6"/>
      <c r="F46" s="6"/>
      <c r="G46" s="6"/>
      <c r="H46" s="6"/>
      <c r="I46" s="6"/>
      <c r="J46" s="6"/>
    </row>
    <row r="47" spans="1:10" ht="20.25" customHeight="1" x14ac:dyDescent="0.15">
      <c r="A47" s="6"/>
      <c r="B47" s="10"/>
      <c r="C47" s="28"/>
      <c r="E47" s="6"/>
      <c r="F47" s="6"/>
      <c r="G47" s="6"/>
      <c r="H47" s="6"/>
      <c r="I47" s="6"/>
      <c r="J47" s="6"/>
    </row>
    <row r="48" spans="1:10" ht="20.25" customHeight="1" x14ac:dyDescent="0.15">
      <c r="A48" s="6"/>
      <c r="B48" s="10"/>
      <c r="C48" s="28"/>
      <c r="E48" s="6"/>
      <c r="F48" s="6"/>
      <c r="G48" s="6"/>
      <c r="H48" s="6"/>
      <c r="I48" s="6"/>
      <c r="J48" s="6"/>
    </row>
    <row r="49" spans="1:10" ht="20.25" customHeight="1" x14ac:dyDescent="0.15">
      <c r="A49" s="6"/>
      <c r="B49" s="10"/>
      <c r="C49" s="28"/>
      <c r="E49" s="6"/>
      <c r="F49" s="6"/>
      <c r="G49" s="6"/>
      <c r="H49" s="6"/>
      <c r="I49" s="6"/>
      <c r="J49" s="6"/>
    </row>
    <row r="50" spans="1:10" ht="20.25" customHeight="1" x14ac:dyDescent="0.15">
      <c r="A50" s="6"/>
      <c r="B50" s="10"/>
      <c r="C50" s="28"/>
      <c r="E50" s="6"/>
      <c r="F50" s="6"/>
      <c r="G50" s="6"/>
      <c r="H50" s="6"/>
      <c r="I50" s="6"/>
      <c r="J50" s="6"/>
    </row>
    <row r="51" spans="1:10" ht="20.25" customHeight="1" x14ac:dyDescent="0.15">
      <c r="A51" s="6"/>
      <c r="B51" s="10"/>
      <c r="C51" s="28"/>
      <c r="E51" s="6"/>
      <c r="F51" s="6"/>
      <c r="G51" s="6"/>
      <c r="H51" s="6"/>
      <c r="I51" s="6"/>
      <c r="J51" s="6"/>
    </row>
    <row r="52" spans="1:10" ht="20.25" customHeight="1" x14ac:dyDescent="0.15">
      <c r="A52" s="6"/>
      <c r="B52" s="10"/>
      <c r="C52" s="28"/>
      <c r="E52" s="6"/>
      <c r="F52" s="6"/>
      <c r="G52" s="6"/>
      <c r="H52" s="6"/>
      <c r="I52" s="6"/>
      <c r="J52" s="6"/>
    </row>
    <row r="53" spans="1:10" ht="20.25" customHeight="1" x14ac:dyDescent="0.15">
      <c r="A53" s="6"/>
      <c r="B53" s="10"/>
      <c r="C53" s="28"/>
      <c r="E53" s="6"/>
      <c r="F53" s="6"/>
      <c r="G53" s="6"/>
      <c r="H53" s="6"/>
      <c r="I53" s="6"/>
      <c r="J53" s="6"/>
    </row>
    <row r="54" spans="1:10" ht="20.25" customHeight="1" x14ac:dyDescent="0.15">
      <c r="A54" s="6"/>
      <c r="B54" s="10"/>
      <c r="C54" s="28"/>
      <c r="E54" s="6"/>
      <c r="F54" s="6"/>
      <c r="G54" s="6"/>
      <c r="H54" s="6"/>
      <c r="I54" s="6"/>
      <c r="J54" s="6"/>
    </row>
    <row r="55" spans="1:10" ht="20.25" customHeight="1" x14ac:dyDescent="0.15">
      <c r="A55" s="6"/>
      <c r="B55" s="10"/>
      <c r="C55" s="28"/>
      <c r="E55" s="6"/>
      <c r="F55" s="6"/>
      <c r="G55" s="6"/>
      <c r="H55" s="6"/>
      <c r="I55" s="6"/>
      <c r="J55" s="6"/>
    </row>
    <row r="56" spans="1:10" ht="20.25" customHeight="1" x14ac:dyDescent="0.15">
      <c r="A56" s="6"/>
      <c r="B56" s="10"/>
      <c r="C56" s="28"/>
      <c r="E56" s="6"/>
      <c r="F56" s="6"/>
      <c r="G56" s="6"/>
      <c r="H56" s="6"/>
      <c r="I56" s="6"/>
      <c r="J56" s="6"/>
    </row>
    <row r="57" spans="1:10" ht="20.25" customHeight="1" x14ac:dyDescent="0.15">
      <c r="A57" s="6"/>
      <c r="B57" s="10"/>
      <c r="C57" s="28"/>
      <c r="E57" s="6"/>
      <c r="F57" s="6"/>
      <c r="G57" s="6"/>
      <c r="H57" s="6"/>
      <c r="I57" s="6"/>
      <c r="J57" s="6"/>
    </row>
    <row r="58" spans="1:10" ht="20.25" customHeight="1" x14ac:dyDescent="0.15">
      <c r="A58" s="6"/>
      <c r="B58" s="10"/>
      <c r="C58" s="28"/>
      <c r="E58" s="6"/>
      <c r="F58" s="6"/>
      <c r="G58" s="6"/>
      <c r="H58" s="6"/>
      <c r="I58" s="6"/>
      <c r="J58" s="6"/>
    </row>
    <row r="59" spans="1:10" ht="20.25" customHeight="1" x14ac:dyDescent="0.15">
      <c r="A59" s="6"/>
      <c r="B59" s="10"/>
      <c r="C59" s="28"/>
      <c r="E59" s="6"/>
      <c r="F59" s="6"/>
      <c r="G59" s="6"/>
      <c r="H59" s="6"/>
      <c r="I59" s="6"/>
      <c r="J59" s="6"/>
    </row>
    <row r="60" spans="1:10" ht="20.25" customHeight="1" x14ac:dyDescent="0.15">
      <c r="A60" s="6"/>
      <c r="B60" s="10"/>
      <c r="C60" s="28"/>
      <c r="E60" s="6"/>
      <c r="F60" s="6"/>
      <c r="G60" s="6"/>
      <c r="H60" s="6"/>
      <c r="I60" s="6"/>
      <c r="J60" s="6"/>
    </row>
    <row r="61" spans="1:10" ht="20.25" customHeight="1" x14ac:dyDescent="0.15">
      <c r="A61" s="6"/>
      <c r="B61" s="10"/>
      <c r="C61" s="28"/>
      <c r="E61" s="6"/>
      <c r="F61" s="6"/>
      <c r="G61" s="6"/>
      <c r="H61" s="6"/>
      <c r="I61" s="6"/>
      <c r="J61" s="6"/>
    </row>
    <row r="62" spans="1:10" ht="20.25" customHeight="1" x14ac:dyDescent="0.15">
      <c r="A62" s="6"/>
      <c r="B62" s="10"/>
      <c r="C62" s="28"/>
      <c r="E62" s="6"/>
      <c r="F62" s="6"/>
      <c r="G62" s="6"/>
      <c r="H62" s="6"/>
      <c r="I62" s="6"/>
      <c r="J62" s="6"/>
    </row>
    <row r="63" spans="1:10" ht="20.25" customHeight="1" x14ac:dyDescent="0.15">
      <c r="A63" s="6"/>
      <c r="B63" s="10"/>
      <c r="C63" s="28"/>
      <c r="E63" s="6"/>
      <c r="F63" s="6"/>
      <c r="G63" s="6"/>
      <c r="H63" s="6"/>
      <c r="I63" s="6"/>
      <c r="J63" s="6"/>
    </row>
    <row r="64" spans="1:10" ht="20.25" customHeight="1" x14ac:dyDescent="0.15">
      <c r="A64" s="6"/>
      <c r="B64" s="10"/>
      <c r="C64" s="28"/>
      <c r="E64" s="6"/>
      <c r="F64" s="6"/>
      <c r="G64" s="6"/>
      <c r="H64" s="6"/>
      <c r="I64" s="6"/>
      <c r="J64" s="6"/>
    </row>
    <row r="65" spans="1:10" ht="20.25" customHeight="1" x14ac:dyDescent="0.15">
      <c r="A65" s="6"/>
      <c r="B65" s="10"/>
      <c r="C65" s="28"/>
      <c r="E65" s="6"/>
      <c r="F65" s="6"/>
      <c r="G65" s="6"/>
      <c r="H65" s="6"/>
      <c r="I65" s="6"/>
      <c r="J65" s="6"/>
    </row>
    <row r="66" spans="1:10" ht="20.25" customHeight="1" x14ac:dyDescent="0.15">
      <c r="A66" s="6"/>
      <c r="B66" s="10"/>
      <c r="C66" s="28"/>
      <c r="E66" s="6"/>
      <c r="F66" s="6"/>
      <c r="G66" s="6"/>
      <c r="H66" s="6"/>
      <c r="I66" s="6"/>
      <c r="J66" s="6"/>
    </row>
    <row r="67" spans="1:10" ht="20.25" customHeight="1" x14ac:dyDescent="0.15">
      <c r="A67" s="6"/>
      <c r="B67" s="10"/>
      <c r="C67" s="28"/>
      <c r="E67" s="6"/>
      <c r="F67" s="6"/>
      <c r="G67" s="6"/>
      <c r="H67" s="6"/>
      <c r="I67" s="6"/>
      <c r="J67" s="6"/>
    </row>
    <row r="68" spans="1:10" ht="20.25" customHeight="1" x14ac:dyDescent="0.15">
      <c r="A68" s="6"/>
      <c r="B68" s="10"/>
      <c r="C68" s="28"/>
      <c r="E68" s="6"/>
      <c r="F68" s="6"/>
      <c r="G68" s="6"/>
      <c r="H68" s="6"/>
      <c r="I68" s="6"/>
      <c r="J68" s="6"/>
    </row>
    <row r="69" spans="1:10" ht="20.25" customHeight="1" x14ac:dyDescent="0.15">
      <c r="A69" s="6"/>
      <c r="B69" s="10"/>
      <c r="C69" s="28"/>
      <c r="E69" s="6"/>
      <c r="F69" s="6"/>
      <c r="G69" s="6"/>
      <c r="H69" s="6"/>
      <c r="I69" s="6"/>
      <c r="J69" s="6"/>
    </row>
    <row r="70" spans="1:10" ht="20.25" customHeight="1" x14ac:dyDescent="0.15">
      <c r="A70" s="6"/>
      <c r="B70" s="10"/>
      <c r="C70" s="28"/>
      <c r="E70" s="6"/>
      <c r="F70" s="6"/>
      <c r="G70" s="6"/>
      <c r="H70" s="6"/>
      <c r="I70" s="6"/>
      <c r="J70" s="6"/>
    </row>
    <row r="71" spans="1:10" ht="20.25" customHeight="1" x14ac:dyDescent="0.15">
      <c r="A71" s="6"/>
      <c r="B71" s="10"/>
      <c r="C71" s="28"/>
      <c r="E71" s="6"/>
      <c r="F71" s="6"/>
      <c r="G71" s="6"/>
      <c r="H71" s="6"/>
      <c r="I71" s="6"/>
      <c r="J71" s="6"/>
    </row>
    <row r="72" spans="1:10" ht="20.25" customHeight="1" x14ac:dyDescent="0.15">
      <c r="A72" s="6"/>
      <c r="B72" s="10"/>
      <c r="C72" s="28"/>
      <c r="E72" s="6"/>
      <c r="F72" s="6"/>
      <c r="G72" s="6"/>
      <c r="H72" s="6"/>
      <c r="I72" s="6"/>
      <c r="J72" s="6"/>
    </row>
    <row r="73" spans="1:10" ht="20.25" customHeight="1" x14ac:dyDescent="0.15">
      <c r="A73" s="6"/>
      <c r="B73" s="10"/>
      <c r="C73" s="28"/>
      <c r="E73" s="6"/>
      <c r="F73" s="6"/>
      <c r="G73" s="6"/>
      <c r="H73" s="6"/>
      <c r="I73" s="6"/>
      <c r="J73" s="6"/>
    </row>
    <row r="74" spans="1:10" ht="20.25" customHeight="1" x14ac:dyDescent="0.15">
      <c r="A74" s="6"/>
      <c r="B74" s="10"/>
      <c r="C74" s="28"/>
      <c r="E74" s="6"/>
      <c r="F74" s="6"/>
      <c r="G74" s="6"/>
      <c r="H74" s="6"/>
      <c r="I74" s="6"/>
      <c r="J74" s="6"/>
    </row>
    <row r="75" spans="1:10" ht="20.25" customHeight="1" x14ac:dyDescent="0.15">
      <c r="A75" s="6"/>
      <c r="B75" s="10"/>
      <c r="C75" s="28"/>
      <c r="E75" s="6"/>
      <c r="F75" s="6"/>
      <c r="G75" s="6"/>
      <c r="H75" s="6"/>
      <c r="I75" s="6"/>
      <c r="J75" s="6"/>
    </row>
    <row r="76" spans="1:10" ht="20.25" customHeight="1" x14ac:dyDescent="0.15">
      <c r="A76" s="6"/>
      <c r="B76" s="10"/>
      <c r="C76" s="28"/>
      <c r="E76" s="6"/>
      <c r="F76" s="6"/>
      <c r="G76" s="6"/>
      <c r="H76" s="6"/>
      <c r="I76" s="6"/>
      <c r="J76" s="6"/>
    </row>
    <row r="77" spans="1:10" ht="20.25" customHeight="1" x14ac:dyDescent="0.15">
      <c r="A77" s="6"/>
      <c r="B77" s="10"/>
      <c r="C77" s="28"/>
      <c r="E77" s="6"/>
      <c r="F77" s="6"/>
      <c r="G77" s="6"/>
      <c r="H77" s="6"/>
      <c r="I77" s="6"/>
      <c r="J77" s="6"/>
    </row>
    <row r="78" spans="1:10" ht="20.25" customHeight="1" x14ac:dyDescent="0.15">
      <c r="A78" s="6"/>
      <c r="B78" s="10"/>
      <c r="C78" s="28"/>
      <c r="E78" s="6"/>
      <c r="F78" s="6"/>
      <c r="G78" s="6"/>
      <c r="H78" s="6"/>
      <c r="I78" s="6"/>
      <c r="J78" s="6"/>
    </row>
    <row r="79" spans="1:10" ht="20.25" customHeight="1" x14ac:dyDescent="0.15">
      <c r="A79" s="6"/>
      <c r="B79" s="10"/>
      <c r="C79" s="28"/>
      <c r="E79" s="6"/>
      <c r="F79" s="6"/>
      <c r="G79" s="6"/>
      <c r="H79" s="6"/>
      <c r="I79" s="6"/>
      <c r="J79" s="6"/>
    </row>
    <row r="80" spans="1:10" ht="20.25" customHeight="1" x14ac:dyDescent="0.15">
      <c r="A80" s="6"/>
      <c r="B80" s="10"/>
      <c r="C80" s="28"/>
      <c r="E80" s="6"/>
      <c r="F80" s="6"/>
      <c r="G80" s="6"/>
      <c r="H80" s="6"/>
      <c r="I80" s="6"/>
      <c r="J80" s="6"/>
    </row>
    <row r="81" spans="1:10" ht="20.25" customHeight="1" x14ac:dyDescent="0.15">
      <c r="A81" s="6"/>
      <c r="B81" s="10"/>
      <c r="C81" s="28"/>
      <c r="E81" s="6"/>
      <c r="F81" s="6"/>
      <c r="G81" s="6"/>
      <c r="H81" s="6"/>
      <c r="I81" s="6"/>
      <c r="J81" s="6"/>
    </row>
    <row r="82" spans="1:10" ht="20.25" customHeight="1" x14ac:dyDescent="0.15">
      <c r="A82" s="6"/>
      <c r="B82" s="10"/>
      <c r="C82" s="28"/>
      <c r="E82" s="6"/>
      <c r="F82" s="6"/>
      <c r="G82" s="6"/>
      <c r="H82" s="6"/>
      <c r="I82" s="6"/>
      <c r="J82" s="6"/>
    </row>
    <row r="83" spans="1:10" ht="20.25" customHeight="1" x14ac:dyDescent="0.15">
      <c r="A83" s="6"/>
      <c r="B83" s="10"/>
      <c r="C83" s="28"/>
      <c r="E83" s="6"/>
      <c r="F83" s="6"/>
      <c r="G83" s="6"/>
      <c r="H83" s="6"/>
      <c r="I83" s="6"/>
      <c r="J83" s="6"/>
    </row>
    <row r="84" spans="1:10" ht="20.25" customHeight="1" x14ac:dyDescent="0.15">
      <c r="A84" s="6"/>
      <c r="B84" s="10"/>
      <c r="C84" s="28"/>
      <c r="E84" s="6"/>
      <c r="F84" s="6"/>
      <c r="G84" s="6"/>
      <c r="H84" s="6"/>
      <c r="I84" s="6"/>
      <c r="J84" s="6"/>
    </row>
    <row r="85" spans="1:10" ht="20.25" customHeight="1" x14ac:dyDescent="0.15">
      <c r="A85" s="6"/>
      <c r="B85" s="10"/>
      <c r="C85" s="28"/>
      <c r="E85" s="6"/>
      <c r="F85" s="6"/>
      <c r="G85" s="6"/>
      <c r="H85" s="6"/>
      <c r="I85" s="6"/>
      <c r="J85" s="6"/>
    </row>
    <row r="86" spans="1:10" ht="20.25" customHeight="1" x14ac:dyDescent="0.15">
      <c r="A86" s="6"/>
      <c r="B86" s="10"/>
      <c r="C86" s="28"/>
      <c r="E86" s="6"/>
      <c r="F86" s="6"/>
      <c r="G86" s="6"/>
      <c r="H86" s="6"/>
      <c r="I86" s="6"/>
      <c r="J86" s="6"/>
    </row>
    <row r="87" spans="1:10" ht="20.25" customHeight="1" x14ac:dyDescent="0.15">
      <c r="A87" s="6"/>
      <c r="B87" s="10"/>
      <c r="C87" s="28"/>
      <c r="E87" s="6"/>
      <c r="F87" s="6"/>
      <c r="G87" s="6"/>
      <c r="H87" s="6"/>
      <c r="I87" s="6"/>
      <c r="J87" s="6"/>
    </row>
    <row r="88" spans="1:10" ht="20.25" customHeight="1" x14ac:dyDescent="0.15">
      <c r="A88" s="6"/>
      <c r="B88" s="10"/>
      <c r="C88" s="28"/>
      <c r="E88" s="6"/>
      <c r="F88" s="6"/>
      <c r="G88" s="6"/>
      <c r="H88" s="6"/>
      <c r="I88" s="6"/>
      <c r="J88" s="6"/>
    </row>
    <row r="89" spans="1:10" ht="20.25" customHeight="1" x14ac:dyDescent="0.15">
      <c r="A89" s="6"/>
      <c r="B89" s="10"/>
      <c r="C89" s="28"/>
      <c r="E89" s="6"/>
      <c r="F89" s="6"/>
      <c r="G89" s="6"/>
      <c r="H89" s="6"/>
      <c r="I89" s="6"/>
      <c r="J89" s="6"/>
    </row>
    <row r="90" spans="1:10" ht="20.25" customHeight="1" x14ac:dyDescent="0.15">
      <c r="A90" s="6"/>
      <c r="B90" s="10"/>
      <c r="C90" s="28"/>
      <c r="E90" s="6"/>
      <c r="F90" s="6"/>
      <c r="G90" s="6"/>
      <c r="H90" s="6"/>
      <c r="I90" s="6"/>
      <c r="J90" s="6"/>
    </row>
    <row r="91" spans="1:10" ht="20.25" customHeight="1" x14ac:dyDescent="0.15">
      <c r="A91" s="6"/>
      <c r="B91" s="10"/>
      <c r="C91" s="28"/>
      <c r="E91" s="6"/>
      <c r="F91" s="6"/>
      <c r="G91" s="6"/>
      <c r="H91" s="6"/>
      <c r="I91" s="6"/>
      <c r="J91" s="6"/>
    </row>
    <row r="92" spans="1:10" ht="20.25" customHeight="1" x14ac:dyDescent="0.15">
      <c r="A92" s="6"/>
      <c r="B92" s="10"/>
      <c r="C92" s="28"/>
      <c r="E92" s="6"/>
      <c r="F92" s="6"/>
      <c r="G92" s="6"/>
      <c r="H92" s="6"/>
      <c r="I92" s="6"/>
      <c r="J92" s="6"/>
    </row>
    <row r="93" spans="1:10" ht="20.25" customHeight="1" x14ac:dyDescent="0.15">
      <c r="A93" s="6"/>
      <c r="B93" s="10"/>
      <c r="C93" s="28"/>
      <c r="E93" s="6"/>
      <c r="F93" s="6"/>
      <c r="G93" s="6"/>
      <c r="H93" s="6"/>
      <c r="I93" s="6"/>
      <c r="J93" s="6"/>
    </row>
    <row r="94" spans="1:10" ht="20.25" customHeight="1" x14ac:dyDescent="0.15">
      <c r="A94" s="6"/>
      <c r="B94" s="10"/>
      <c r="C94" s="28"/>
      <c r="E94" s="6"/>
      <c r="F94" s="6"/>
      <c r="G94" s="6"/>
      <c r="H94" s="6"/>
      <c r="I94" s="6"/>
      <c r="J94" s="6"/>
    </row>
    <row r="95" spans="1:10" ht="13" customHeight="1" x14ac:dyDescent="0.15">
      <c r="E95" s="6"/>
      <c r="F95" s="6"/>
      <c r="G95" s="6"/>
      <c r="H95" s="6"/>
      <c r="I95" s="6"/>
      <c r="J95" s="6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1"/>
  <sheetViews>
    <sheetView workbookViewId="0">
      <selection activeCell="B8" sqref="B8"/>
    </sheetView>
  </sheetViews>
  <sheetFormatPr baseColWidth="10" defaultColWidth="8.83203125" defaultRowHeight="13" x14ac:dyDescent="0.15"/>
  <cols>
    <col min="1" max="1" width="4.1640625" customWidth="1"/>
    <col min="2" max="2" width="42.5" bestFit="1" customWidth="1"/>
    <col min="3" max="3" width="21.6640625" bestFit="1" customWidth="1"/>
    <col min="4" max="4" width="73.83203125" bestFit="1" customWidth="1"/>
    <col min="5" max="5" width="10.5" bestFit="1" customWidth="1"/>
  </cols>
  <sheetData>
    <row r="1" spans="1:10" ht="26" customHeight="1" x14ac:dyDescent="0.15">
      <c r="A1" s="35" t="s">
        <v>0</v>
      </c>
      <c r="B1" s="36" t="s">
        <v>1</v>
      </c>
      <c r="C1" s="34" t="s">
        <v>89</v>
      </c>
      <c r="D1" s="34" t="s">
        <v>2</v>
      </c>
      <c r="E1" s="36" t="s">
        <v>3</v>
      </c>
      <c r="F1" s="36" t="s">
        <v>4</v>
      </c>
      <c r="G1" s="36" t="s">
        <v>5</v>
      </c>
      <c r="H1" s="36" t="s">
        <v>6</v>
      </c>
      <c r="I1" s="36" t="s">
        <v>7</v>
      </c>
      <c r="J1" s="36" t="s">
        <v>8</v>
      </c>
    </row>
    <row r="2" spans="1:10" x14ac:dyDescent="0.15">
      <c r="A2" t="s">
        <v>90</v>
      </c>
      <c r="B2" t="s">
        <v>91</v>
      </c>
      <c r="C2" t="s">
        <v>92</v>
      </c>
      <c r="D2" t="s">
        <v>93</v>
      </c>
    </row>
    <row r="3" spans="1:10" x14ac:dyDescent="0.15">
      <c r="A3" t="s">
        <v>94</v>
      </c>
      <c r="B3" t="s">
        <v>95</v>
      </c>
      <c r="C3" t="s">
        <v>96</v>
      </c>
      <c r="D3" t="s">
        <v>97</v>
      </c>
    </row>
    <row r="4" spans="1:10" x14ac:dyDescent="0.15">
      <c r="A4" t="s">
        <v>98</v>
      </c>
      <c r="B4" t="s">
        <v>99</v>
      </c>
      <c r="C4" t="s">
        <v>100</v>
      </c>
      <c r="D4" t="s">
        <v>101</v>
      </c>
    </row>
    <row r="5" spans="1:10" x14ac:dyDescent="0.15">
      <c r="A5" t="s">
        <v>102</v>
      </c>
      <c r="B5" t="s">
        <v>103</v>
      </c>
      <c r="C5" t="s">
        <v>104</v>
      </c>
      <c r="D5" t="s">
        <v>105</v>
      </c>
    </row>
    <row r="6" spans="1:10" x14ac:dyDescent="0.15">
      <c r="A6" t="s">
        <v>106</v>
      </c>
      <c r="B6" t="s">
        <v>107</v>
      </c>
      <c r="C6" t="s">
        <v>108</v>
      </c>
      <c r="D6" t="s">
        <v>109</v>
      </c>
    </row>
    <row r="7" spans="1:10" x14ac:dyDescent="0.15">
      <c r="A7" t="s">
        <v>110</v>
      </c>
      <c r="B7" t="s">
        <v>111</v>
      </c>
      <c r="C7" t="s">
        <v>112</v>
      </c>
      <c r="D7" t="s">
        <v>113</v>
      </c>
    </row>
    <row r="8" spans="1:10" x14ac:dyDescent="0.15">
      <c r="A8" t="s">
        <v>114</v>
      </c>
      <c r="B8" t="s">
        <v>115</v>
      </c>
      <c r="C8" t="s">
        <v>116</v>
      </c>
      <c r="D8" t="s">
        <v>117</v>
      </c>
    </row>
    <row r="9" spans="1:10" x14ac:dyDescent="0.15">
      <c r="A9" t="s">
        <v>118</v>
      </c>
      <c r="B9" t="s">
        <v>119</v>
      </c>
      <c r="C9" t="s">
        <v>120</v>
      </c>
      <c r="D9" t="s">
        <v>121</v>
      </c>
    </row>
    <row r="10" spans="1:10" x14ac:dyDescent="0.15">
      <c r="A10" t="s">
        <v>122</v>
      </c>
      <c r="B10" t="s">
        <v>123</v>
      </c>
      <c r="C10" t="s">
        <v>124</v>
      </c>
      <c r="D10" t="s">
        <v>125</v>
      </c>
    </row>
    <row r="11" spans="1:10" x14ac:dyDescent="0.15">
      <c r="A11" t="s">
        <v>126</v>
      </c>
      <c r="B11" t="s">
        <v>127</v>
      </c>
      <c r="C11" t="s">
        <v>128</v>
      </c>
      <c r="D11" t="s">
        <v>129</v>
      </c>
    </row>
    <row r="12" spans="1:10" x14ac:dyDescent="0.15">
      <c r="A12" t="s">
        <v>130</v>
      </c>
      <c r="B12" t="s">
        <v>131</v>
      </c>
      <c r="C12" t="s">
        <v>132</v>
      </c>
      <c r="D12" t="s">
        <v>133</v>
      </c>
    </row>
    <row r="13" spans="1:10" x14ac:dyDescent="0.15">
      <c r="A13" t="s">
        <v>134</v>
      </c>
      <c r="B13" t="s">
        <v>135</v>
      </c>
      <c r="C13" t="s">
        <v>136</v>
      </c>
      <c r="D13" t="s">
        <v>137</v>
      </c>
    </row>
    <row r="14" spans="1:10" x14ac:dyDescent="0.15">
      <c r="A14" t="s">
        <v>138</v>
      </c>
      <c r="B14" t="s">
        <v>139</v>
      </c>
      <c r="C14" t="s">
        <v>140</v>
      </c>
      <c r="D14" t="s">
        <v>141</v>
      </c>
    </row>
    <row r="15" spans="1:10" x14ac:dyDescent="0.15">
      <c r="A15" t="s">
        <v>142</v>
      </c>
      <c r="B15" t="s">
        <v>143</v>
      </c>
      <c r="C15" t="s">
        <v>144</v>
      </c>
      <c r="D15" t="s">
        <v>145</v>
      </c>
    </row>
    <row r="16" spans="1:10" x14ac:dyDescent="0.15">
      <c r="A16" t="s">
        <v>146</v>
      </c>
      <c r="B16" t="s">
        <v>147</v>
      </c>
      <c r="C16" t="s">
        <v>148</v>
      </c>
      <c r="D16" t="s">
        <v>149</v>
      </c>
    </row>
    <row r="17" spans="1:4" x14ac:dyDescent="0.15">
      <c r="A17" t="s">
        <v>150</v>
      </c>
      <c r="B17" t="s">
        <v>151</v>
      </c>
      <c r="C17" t="s">
        <v>152</v>
      </c>
      <c r="D17" t="s">
        <v>153</v>
      </c>
    </row>
    <row r="18" spans="1:4" x14ac:dyDescent="0.15">
      <c r="A18" t="s">
        <v>154</v>
      </c>
      <c r="B18" t="s">
        <v>155</v>
      </c>
      <c r="C18" t="s">
        <v>156</v>
      </c>
      <c r="D18" t="s">
        <v>157</v>
      </c>
    </row>
    <row r="19" spans="1:4" x14ac:dyDescent="0.15">
      <c r="A19" t="s">
        <v>158</v>
      </c>
      <c r="B19" t="s">
        <v>159</v>
      </c>
      <c r="C19" t="s">
        <v>160</v>
      </c>
      <c r="D19" t="s">
        <v>161</v>
      </c>
    </row>
    <row r="20" spans="1:4" x14ac:dyDescent="0.15">
      <c r="A20" t="s">
        <v>162</v>
      </c>
      <c r="B20" t="s">
        <v>163</v>
      </c>
      <c r="C20" t="s">
        <v>164</v>
      </c>
      <c r="D20" t="s">
        <v>165</v>
      </c>
    </row>
    <row r="21" spans="1:4" x14ac:dyDescent="0.15">
      <c r="A21" t="s">
        <v>166</v>
      </c>
      <c r="B21" t="s">
        <v>167</v>
      </c>
      <c r="C21" t="s">
        <v>168</v>
      </c>
      <c r="D21" t="s">
        <v>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H94"/>
  <sheetViews>
    <sheetView tabSelected="1" workbookViewId="0">
      <selection activeCell="F7" sqref="F7"/>
    </sheetView>
  </sheetViews>
  <sheetFormatPr baseColWidth="10" defaultColWidth="14.5" defaultRowHeight="15.75" customHeight="1" x14ac:dyDescent="0.15"/>
  <cols>
    <col min="1" max="1" width="3.6640625" customWidth="1"/>
    <col min="2" max="2" width="40.5" customWidth="1"/>
    <col min="3" max="7" width="26.33203125" customWidth="1"/>
  </cols>
  <sheetData>
    <row r="1" spans="1:8" ht="22.5" customHeight="1" x14ac:dyDescent="0.15">
      <c r="A1" s="14" t="s">
        <v>0</v>
      </c>
      <c r="B1" s="14" t="s">
        <v>1</v>
      </c>
      <c r="C1" s="14" t="s">
        <v>3</v>
      </c>
      <c r="D1" s="14" t="s">
        <v>4</v>
      </c>
      <c r="E1" s="14" t="s">
        <v>5</v>
      </c>
      <c r="F1" s="14" t="s">
        <v>6</v>
      </c>
      <c r="G1" s="14" t="s">
        <v>7</v>
      </c>
      <c r="H1" s="14" t="s">
        <v>8</v>
      </c>
    </row>
    <row r="2" spans="1:8" ht="20.25" customHeight="1" x14ac:dyDescent="0.15">
      <c r="A2" s="6">
        <v>1</v>
      </c>
      <c r="B2" s="7" t="s">
        <v>84</v>
      </c>
      <c r="C2" s="6" t="str">
        <f>"rating_"&amp;A2&amp;"_km.mp3"</f>
        <v>rating_1_km.mp3</v>
      </c>
      <c r="D2" s="6" t="str">
        <f>"rating_"&amp;A2&amp;"_bn.mp3"</f>
        <v>rating_1_bn.mp3</v>
      </c>
      <c r="E2" s="15" t="str">
        <f>"rating_"&amp;A2&amp;"_tp.mp3"</f>
        <v>rating_1_tp.mp3</v>
      </c>
      <c r="F2" s="15" t="str">
        <f>"rating_"&amp;A2&amp;"_kr.mp3"</f>
        <v>rating_1_kr.mp3</v>
      </c>
      <c r="G2" s="6" t="str">
        <f>"rating_"&amp;A2&amp;"_kv.mp3"</f>
        <v>rating_1_kv.mp3</v>
      </c>
      <c r="H2" s="6" t="str">
        <f>"rating_"&amp;A2&amp;"_jr.mp3"</f>
        <v>rating_1_jr.mp3</v>
      </c>
    </row>
    <row r="3" spans="1:8" ht="20.25" customHeight="1" x14ac:dyDescent="0.15">
      <c r="A3" s="6">
        <v>2</v>
      </c>
      <c r="B3" s="7" t="s">
        <v>85</v>
      </c>
      <c r="C3" s="6" t="str">
        <f>"rating_"&amp;A3&amp;"_km.mp3"</f>
        <v>rating_2_km.mp3</v>
      </c>
      <c r="D3" s="6" t="str">
        <f>"rating_"&amp;A3&amp;"_bn.mp3"</f>
        <v>rating_2_bn.mp3</v>
      </c>
      <c r="E3" s="15" t="str">
        <f>"rating_"&amp;A3&amp;"_tp.mp3"</f>
        <v>rating_2_tp.mp3</v>
      </c>
      <c r="F3" s="15" t="str">
        <f>"rating_"&amp;A3&amp;"_kr.mp3"</f>
        <v>rating_2_kr.mp3</v>
      </c>
      <c r="G3" s="6" t="str">
        <f>"rating_"&amp;A3&amp;"_kv.mp3"</f>
        <v>rating_2_kv.mp3</v>
      </c>
      <c r="H3" s="6" t="str">
        <f>"rating_"&amp;A3&amp;"_jr.mp3"</f>
        <v>rating_2_jr.mp3</v>
      </c>
    </row>
    <row r="4" spans="1:8" ht="20.25" customHeight="1" x14ac:dyDescent="0.15">
      <c r="A4" s="6">
        <v>3</v>
      </c>
      <c r="B4" s="7" t="s">
        <v>86</v>
      </c>
      <c r="C4" s="6" t="str">
        <f>"rating_"&amp;A4&amp;"_km.mp3"</f>
        <v>rating_3_km.mp3</v>
      </c>
      <c r="D4" s="6" t="str">
        <f>"rating_"&amp;A4&amp;"_bn.mp3"</f>
        <v>rating_3_bn.mp3</v>
      </c>
      <c r="E4" s="15" t="str">
        <f>"rating_"&amp;A4&amp;"_tp.mp3"</f>
        <v>rating_3_tp.mp3</v>
      </c>
      <c r="F4" s="15" t="str">
        <f>"rating_"&amp;A4&amp;"_kr.mp3"</f>
        <v>rating_3_kr.mp3</v>
      </c>
      <c r="G4" s="6" t="str">
        <f>"rating_"&amp;A4&amp;"_kv.mp3"</f>
        <v>rating_3_kv.mp3</v>
      </c>
      <c r="H4" s="6" t="str">
        <f>"rating_"&amp;A4&amp;"_jr.mp3"</f>
        <v>rating_3_jr.mp3</v>
      </c>
    </row>
    <row r="5" spans="1:8" ht="20.25" customHeight="1" x14ac:dyDescent="0.15">
      <c r="A5" s="6">
        <v>4</v>
      </c>
      <c r="B5" s="7" t="s">
        <v>87</v>
      </c>
      <c r="C5" s="6" t="str">
        <f>"rating_"&amp;A5&amp;"_km.mp3"</f>
        <v>rating_4_km.mp3</v>
      </c>
      <c r="D5" s="6" t="str">
        <f>"rating_"&amp;A5&amp;"_bn.mp3"</f>
        <v>rating_4_bn.mp3</v>
      </c>
      <c r="E5" s="15" t="str">
        <f>"rating_"&amp;A5&amp;"_tp.mp3"</f>
        <v>rating_4_tp.mp3</v>
      </c>
      <c r="F5" s="15" t="str">
        <f>"rating_"&amp;A5&amp;"_kr.mp3"</f>
        <v>rating_4_kr.mp3</v>
      </c>
      <c r="G5" s="6" t="str">
        <f>"rating_"&amp;A5&amp;"_kv.mp3"</f>
        <v>rating_4_kv.mp3</v>
      </c>
      <c r="H5" s="6" t="str">
        <f>"rating_"&amp;A5&amp;"_jr.mp3"</f>
        <v>rating_4_jr.mp3</v>
      </c>
    </row>
    <row r="6" spans="1:8" ht="20.25" customHeight="1" x14ac:dyDescent="0.15">
      <c r="A6" s="16">
        <v>5</v>
      </c>
      <c r="B6" s="17" t="s">
        <v>88</v>
      </c>
      <c r="C6" s="6" t="str">
        <f>"rating_"&amp;A6&amp;"_km.mp3"</f>
        <v>rating_5_km.mp3</v>
      </c>
      <c r="D6" s="6" t="str">
        <f>"rating_"&amp;A6&amp;"_bn.mp3"</f>
        <v>rating_5_bn.mp3</v>
      </c>
      <c r="E6" s="15" t="str">
        <f>"rating_"&amp;A6&amp;"_tp.mp3"</f>
        <v>rating_5_tp.mp3</v>
      </c>
      <c r="F6" s="15" t="str">
        <f>"rating_"&amp;A6&amp;"_kr.mp3"</f>
        <v>rating_5_kr.mp3</v>
      </c>
      <c r="G6" s="6" t="str">
        <f>"rating_"&amp;A6&amp;"_kv.mp3"</f>
        <v>rating_5_kv.mp3</v>
      </c>
      <c r="H6" s="6" t="str">
        <f>"rating_"&amp;A6&amp;"_jr.mp3"</f>
        <v>rating_5_jr.mp3</v>
      </c>
    </row>
    <row r="7" spans="1:8" ht="20.25" customHeight="1" x14ac:dyDescent="0.15">
      <c r="A7" s="18"/>
      <c r="B7" s="19"/>
    </row>
    <row r="8" spans="1:8" ht="20.25" customHeight="1" x14ac:dyDescent="0.15">
      <c r="A8" s="12"/>
      <c r="B8" s="20"/>
    </row>
    <row r="9" spans="1:8" ht="20.25" customHeight="1" x14ac:dyDescent="0.15">
      <c r="B9" s="20"/>
    </row>
    <row r="10" spans="1:8" ht="20.25" customHeight="1" x14ac:dyDescent="0.15">
      <c r="B10" s="20"/>
    </row>
    <row r="11" spans="1:8" ht="20.25" customHeight="1" x14ac:dyDescent="0.15">
      <c r="B11" s="20"/>
    </row>
    <row r="12" spans="1:8" ht="20.25" customHeight="1" x14ac:dyDescent="0.15">
      <c r="B12" s="20"/>
    </row>
    <row r="13" spans="1:8" ht="20.25" customHeight="1" x14ac:dyDescent="0.15">
      <c r="B13" s="20"/>
    </row>
    <row r="14" spans="1:8" ht="20.25" customHeight="1" x14ac:dyDescent="0.15">
      <c r="B14" s="20"/>
    </row>
    <row r="15" spans="1:8" ht="20.25" customHeight="1" x14ac:dyDescent="0.15">
      <c r="B15" s="20"/>
    </row>
    <row r="16" spans="1:8" ht="20.25" customHeight="1" x14ac:dyDescent="0.15">
      <c r="B16" s="21"/>
    </row>
    <row r="17" spans="2:2" ht="20.25" customHeight="1" x14ac:dyDescent="0.15">
      <c r="B17" s="20"/>
    </row>
    <row r="18" spans="2:2" ht="20.25" customHeight="1" x14ac:dyDescent="0.15">
      <c r="B18" s="20"/>
    </row>
    <row r="19" spans="2:2" ht="20.25" customHeight="1" x14ac:dyDescent="0.15">
      <c r="B19" s="20"/>
    </row>
    <row r="20" spans="2:2" ht="20.25" customHeight="1" x14ac:dyDescent="0.15">
      <c r="B20" s="20"/>
    </row>
    <row r="21" spans="2:2" ht="20.25" customHeight="1" x14ac:dyDescent="0.15">
      <c r="B21" s="20"/>
    </row>
    <row r="22" spans="2:2" ht="20.25" customHeight="1" x14ac:dyDescent="0.15"/>
    <row r="23" spans="2:2" ht="20.25" customHeight="1" x14ac:dyDescent="0.15">
      <c r="B23" s="20"/>
    </row>
    <row r="24" spans="2:2" ht="20.25" customHeight="1" x14ac:dyDescent="0.15">
      <c r="B24" s="20"/>
    </row>
    <row r="25" spans="2:2" ht="20.25" customHeight="1" x14ac:dyDescent="0.15">
      <c r="B25" s="20"/>
    </row>
    <row r="26" spans="2:2" ht="20.25" customHeight="1" x14ac:dyDescent="0.15">
      <c r="B26" s="20"/>
    </row>
    <row r="27" spans="2:2" ht="20.25" customHeight="1" x14ac:dyDescent="0.15">
      <c r="B27" s="20"/>
    </row>
    <row r="28" spans="2:2" ht="20.25" customHeight="1" x14ac:dyDescent="0.15">
      <c r="B28" s="20"/>
    </row>
    <row r="29" spans="2:2" ht="20.25" customHeight="1" x14ac:dyDescent="0.15">
      <c r="B29" s="20"/>
    </row>
    <row r="30" spans="2:2" ht="20.25" customHeight="1" x14ac:dyDescent="0.15">
      <c r="B30" s="20"/>
    </row>
    <row r="31" spans="2:2" ht="20.25" customHeight="1" x14ac:dyDescent="0.15">
      <c r="B31" s="20"/>
    </row>
    <row r="32" spans="2:2" ht="20.25" customHeight="1" x14ac:dyDescent="0.15">
      <c r="B32" s="22"/>
    </row>
    <row r="33" spans="2:2" ht="20.25" customHeight="1" x14ac:dyDescent="0.15">
      <c r="B33" s="22"/>
    </row>
    <row r="34" spans="2:2" ht="20.25" customHeight="1" x14ac:dyDescent="0.15">
      <c r="B34" s="22"/>
    </row>
    <row r="35" spans="2:2" ht="20.25" customHeight="1" x14ac:dyDescent="0.15">
      <c r="B35" s="22"/>
    </row>
    <row r="36" spans="2:2" ht="20.25" customHeight="1" x14ac:dyDescent="0.15">
      <c r="B36" s="22"/>
    </row>
    <row r="37" spans="2:2" ht="20.25" customHeight="1" x14ac:dyDescent="0.15">
      <c r="B37" s="22"/>
    </row>
    <row r="38" spans="2:2" ht="20.25" customHeight="1" x14ac:dyDescent="0.15">
      <c r="B38" s="22"/>
    </row>
    <row r="39" spans="2:2" ht="20.25" customHeight="1" x14ac:dyDescent="0.15">
      <c r="B39" s="22"/>
    </row>
    <row r="40" spans="2:2" ht="20.25" customHeight="1" x14ac:dyDescent="0.15">
      <c r="B40" s="23"/>
    </row>
    <row r="41" spans="2:2" ht="20.25" customHeight="1" x14ac:dyDescent="0.15">
      <c r="B41" s="23"/>
    </row>
    <row r="42" spans="2:2" ht="20.25" customHeight="1" x14ac:dyDescent="0.15">
      <c r="B42" s="23"/>
    </row>
    <row r="43" spans="2:2" ht="20.25" customHeight="1" x14ac:dyDescent="0.15">
      <c r="B43" s="23"/>
    </row>
    <row r="44" spans="2:2" ht="20.25" customHeight="1" x14ac:dyDescent="0.15">
      <c r="B44" s="23"/>
    </row>
    <row r="45" spans="2:2" ht="20.25" customHeight="1" x14ac:dyDescent="0.15">
      <c r="B45" s="23"/>
    </row>
    <row r="46" spans="2:2" ht="20.25" customHeight="1" x14ac:dyDescent="0.15">
      <c r="B46" s="23"/>
    </row>
    <row r="47" spans="2:2" ht="20.25" customHeight="1" x14ac:dyDescent="0.15">
      <c r="B47" s="23"/>
    </row>
    <row r="48" spans="2:2" ht="20.25" customHeight="1" x14ac:dyDescent="0.15">
      <c r="B48" s="23"/>
    </row>
    <row r="49" spans="2:2" ht="20.25" customHeight="1" x14ac:dyDescent="0.15">
      <c r="B49" s="23"/>
    </row>
    <row r="50" spans="2:2" ht="20.25" customHeight="1" x14ac:dyDescent="0.15">
      <c r="B50" s="23"/>
    </row>
    <row r="51" spans="2:2" ht="20.25" customHeight="1" x14ac:dyDescent="0.15">
      <c r="B51" s="23"/>
    </row>
    <row r="52" spans="2:2" ht="20.25" customHeight="1" x14ac:dyDescent="0.15">
      <c r="B52" s="23"/>
    </row>
    <row r="53" spans="2:2" ht="20.25" customHeight="1" x14ac:dyDescent="0.15">
      <c r="B53" s="23"/>
    </row>
    <row r="54" spans="2:2" ht="20.25" customHeight="1" x14ac:dyDescent="0.15">
      <c r="B54" s="23"/>
    </row>
    <row r="55" spans="2:2" ht="20.25" customHeight="1" x14ac:dyDescent="0.15">
      <c r="B55" s="23"/>
    </row>
    <row r="56" spans="2:2" ht="20.25" customHeight="1" x14ac:dyDescent="0.15">
      <c r="B56" s="23"/>
    </row>
    <row r="57" spans="2:2" ht="20.25" customHeight="1" x14ac:dyDescent="0.15">
      <c r="B57" s="23"/>
    </row>
    <row r="58" spans="2:2" ht="20.25" customHeight="1" x14ac:dyDescent="0.15">
      <c r="B58" s="23"/>
    </row>
    <row r="59" spans="2:2" ht="20.25" customHeight="1" x14ac:dyDescent="0.15">
      <c r="B59" s="23"/>
    </row>
    <row r="60" spans="2:2" ht="20.25" customHeight="1" x14ac:dyDescent="0.15">
      <c r="B60" s="23"/>
    </row>
    <row r="61" spans="2:2" ht="20.25" customHeight="1" x14ac:dyDescent="0.15">
      <c r="B61" s="23"/>
    </row>
    <row r="62" spans="2:2" ht="20.25" customHeight="1" x14ac:dyDescent="0.15">
      <c r="B62" s="23"/>
    </row>
    <row r="63" spans="2:2" ht="20.25" customHeight="1" x14ac:dyDescent="0.15">
      <c r="B63" s="23"/>
    </row>
    <row r="64" spans="2:2" ht="20.25" customHeight="1" x14ac:dyDescent="0.15">
      <c r="B64" s="23"/>
    </row>
    <row r="65" spans="2:2" ht="20.25" customHeight="1" x14ac:dyDescent="0.15">
      <c r="B65" s="23"/>
    </row>
    <row r="66" spans="2:2" ht="20.25" customHeight="1" x14ac:dyDescent="0.15">
      <c r="B66" s="23"/>
    </row>
    <row r="67" spans="2:2" ht="20.25" customHeight="1" x14ac:dyDescent="0.15">
      <c r="B67" s="23"/>
    </row>
    <row r="68" spans="2:2" ht="20.25" customHeight="1" x14ac:dyDescent="0.15">
      <c r="B68" s="23"/>
    </row>
    <row r="69" spans="2:2" ht="20.25" customHeight="1" x14ac:dyDescent="0.15">
      <c r="B69" s="23"/>
    </row>
    <row r="70" spans="2:2" ht="20.25" customHeight="1" x14ac:dyDescent="0.15">
      <c r="B70" s="23"/>
    </row>
    <row r="71" spans="2:2" ht="20.25" customHeight="1" x14ac:dyDescent="0.15">
      <c r="B71" s="23"/>
    </row>
    <row r="72" spans="2:2" ht="20.25" customHeight="1" x14ac:dyDescent="0.15">
      <c r="B72" s="23"/>
    </row>
    <row r="73" spans="2:2" ht="20.25" customHeight="1" x14ac:dyDescent="0.15">
      <c r="B73" s="23"/>
    </row>
    <row r="74" spans="2:2" ht="20.25" customHeight="1" x14ac:dyDescent="0.15">
      <c r="B74" s="23"/>
    </row>
    <row r="75" spans="2:2" ht="20.25" customHeight="1" x14ac:dyDescent="0.15">
      <c r="B75" s="23"/>
    </row>
    <row r="76" spans="2:2" ht="20.25" customHeight="1" x14ac:dyDescent="0.15">
      <c r="B76" s="23"/>
    </row>
    <row r="77" spans="2:2" ht="20.25" customHeight="1" x14ac:dyDescent="0.15">
      <c r="B77" s="23"/>
    </row>
    <row r="78" spans="2:2" ht="20.25" customHeight="1" x14ac:dyDescent="0.15">
      <c r="B78" s="23"/>
    </row>
    <row r="79" spans="2:2" ht="20.25" customHeight="1" x14ac:dyDescent="0.15">
      <c r="B79" s="23"/>
    </row>
    <row r="80" spans="2:2" ht="20.25" customHeight="1" x14ac:dyDescent="0.15">
      <c r="B80" s="23"/>
    </row>
    <row r="81" spans="2:2" ht="20.25" customHeight="1" x14ac:dyDescent="0.15">
      <c r="B81" s="23"/>
    </row>
    <row r="82" spans="2:2" ht="20.25" customHeight="1" x14ac:dyDescent="0.15">
      <c r="B82" s="23"/>
    </row>
    <row r="83" spans="2:2" ht="20.25" customHeight="1" x14ac:dyDescent="0.15">
      <c r="B83" s="23"/>
    </row>
    <row r="84" spans="2:2" ht="20.25" customHeight="1" x14ac:dyDescent="0.15">
      <c r="B84" s="23"/>
    </row>
    <row r="85" spans="2:2" ht="20.25" customHeight="1" x14ac:dyDescent="0.15">
      <c r="B85" s="23"/>
    </row>
    <row r="86" spans="2:2" ht="20.25" customHeight="1" x14ac:dyDescent="0.15">
      <c r="B86" s="23"/>
    </row>
    <row r="87" spans="2:2" ht="20.25" customHeight="1" x14ac:dyDescent="0.15">
      <c r="B87" s="23"/>
    </row>
    <row r="88" spans="2:2" ht="20.25" customHeight="1" x14ac:dyDescent="0.15">
      <c r="B88" s="23"/>
    </row>
    <row r="89" spans="2:2" ht="20.25" customHeight="1" x14ac:dyDescent="0.15">
      <c r="B89" s="23"/>
    </row>
    <row r="90" spans="2:2" ht="20.25" customHeight="1" x14ac:dyDescent="0.15">
      <c r="B90" s="23"/>
    </row>
    <row r="91" spans="2:2" ht="20.25" customHeight="1" x14ac:dyDescent="0.15">
      <c r="B91" s="23"/>
    </row>
    <row r="92" spans="2:2" ht="20.25" customHeight="1" x14ac:dyDescent="0.15">
      <c r="B92" s="23"/>
    </row>
    <row r="93" spans="2:2" ht="20.25" customHeight="1" x14ac:dyDescent="0.15">
      <c r="B93" s="23"/>
    </row>
    <row r="94" spans="2:2" ht="20.25" customHeight="1" x14ac:dyDescent="0.15">
      <c r="B94" s="23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Primiary School (PS)</vt:lpstr>
      <vt:lpstr>Commune Administrative (CA)</vt:lpstr>
      <vt:lpstr>Health Center (HC)</vt:lpstr>
      <vt:lpstr>Garment Factory (GF)</vt:lpstr>
      <vt:lpstr>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2025-12-15T09:36:25Z</dcterms:created>
  <dcterms:modified xsi:type="dcterms:W3CDTF">2025-12-15T10:14:10Z</dcterms:modified>
</cp:coreProperties>
</file>